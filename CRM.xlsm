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00000000-0000-0000-0000-0000000000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54f9c73e4f05c55f/"/>
    </mc:Choice>
  </mc:AlternateContent>
  <xr:revisionPtr revIDLastSave="641" documentId="13_ncr:1_{CB9C3CC8-8E94-401F-8740-0BBB49CAECCF}" xr6:coauthVersionLast="47" xr6:coauthVersionMax="47" xr10:uidLastSave="{29BD7113-99E6-479C-BB6E-BBBF43187024}"/>
  <bookViews>
    <workbookView xWindow="-120" yWindow="-120" windowWidth="20730" windowHeight="11310" tabRatio="0" xr2:uid="{00000000-000D-0000-FFFF-FFFF00000000}"/>
  </bookViews>
  <sheets>
    <sheet name="SALVAR" sheetId="48" r:id="rId1"/>
    <sheet name="CRM" sheetId="57" r:id="rId2"/>
    <sheet name="CLIENTES" sheetId="46" r:id="rId3"/>
    <sheet name="RELATORIO" sheetId="51" r:id="rId4"/>
  </sheets>
  <definedNames>
    <definedName name="_xlnm._FilterDatabase" localSheetId="3" hidden="1">'RELATORIO'!$D$1:$I$2</definedName>
    <definedName name="_xlnm.Extract" localSheetId="3">'RELATORIO'!#REF!</definedName>
    <definedName name="cliente" localSheetId="2">#REF!</definedName>
    <definedName name="cliente">#REF!</definedName>
    <definedName name="CNPJ" localSheetId="2">#REF!</definedName>
    <definedName name="CNPJ">#REF!</definedName>
    <definedName name="_xlnm.Criteria" localSheetId="3">'RELATORIO'!#REF!</definedName>
    <definedName name="data" localSheetId="2">#REF!</definedName>
    <definedName name="data">#REF!</definedName>
    <definedName name="LAURA" localSheetId="2">#REF!</definedName>
    <definedName name="LAURA">#REF!</definedName>
    <definedName name="nf" localSheetId="2">#REF!</definedName>
    <definedName name="nf">#REF!</definedName>
    <definedName name="pedido" localSheetId="2">#REF!</definedName>
    <definedName name="pedido">#REF!</definedName>
    <definedName name="VENDAS">#REF!</definedName>
    <definedName name="vendedor" localSheetId="2">#REF!</definedName>
    <definedName name="vendedor">#REF!</definedName>
    <definedName name="VILTON" localSheetId="2">#REF!</definedName>
    <definedName name="VILTON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48" l="1"/>
  <c r="M26" i="48"/>
  <c r="L26" i="48"/>
  <c r="K26" i="48"/>
  <c r="J26" i="48"/>
  <c r="I26" i="48"/>
  <c r="H26" i="48"/>
  <c r="G26" i="48"/>
  <c r="F26" i="48"/>
  <c r="E26" i="48"/>
  <c r="D26" i="48"/>
  <c r="C26" i="48"/>
  <c r="I1" i="57"/>
  <c r="H1" i="57"/>
  <c r="G1" i="57"/>
  <c r="F1" i="57"/>
  <c r="E1" i="57"/>
  <c r="D1" i="57"/>
  <c r="C1" i="5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edidos_venda_1-500" type="6" refreshedVersion="4" background="1">
    <textPr codePage="65001" sourceFile="C:\Users\Astecc Matriz\Google Drive\GERENCIAL\NF\planilha_vendas_21-06-2021-15-47-21\planilha_vendas_21-06-2021-16-03-17\pedidos_venda_1-500.csv" decimal="," thousands="." qualifier="none" delimiter="&quot;">
      <textFields count="9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<sst xmlns="http://schemas.openxmlformats.org/spreadsheetml/2006/main" count="59" uniqueCount="23">
  <si>
    <t>TELEVENDAS</t>
  </si>
  <si>
    <t xml:space="preserve">NOME FANTASIA </t>
  </si>
  <si>
    <t>RAZÃO SOCIAL</t>
  </si>
  <si>
    <t xml:space="preserve">CNPJ </t>
  </si>
  <si>
    <t xml:space="preserve">IE </t>
  </si>
  <si>
    <t xml:space="preserve">FIXO </t>
  </si>
  <si>
    <t>CELULAR</t>
  </si>
  <si>
    <t xml:space="preserve">COMPRADOR </t>
  </si>
  <si>
    <t xml:space="preserve">E-MAIL </t>
  </si>
  <si>
    <t>CIDADE</t>
  </si>
  <si>
    <t>UF</t>
  </si>
  <si>
    <t>NOME FANTASIA</t>
  </si>
  <si>
    <t>COMPRADOR</t>
  </si>
  <si>
    <t>CNPJ / CPF</t>
  </si>
  <si>
    <t>IE</t>
  </si>
  <si>
    <t>FIXO</t>
  </si>
  <si>
    <t>E-MAIL</t>
  </si>
  <si>
    <t>DATA</t>
  </si>
  <si>
    <t xml:space="preserve">OBSERVAÇÕES </t>
  </si>
  <si>
    <t>CNPJ</t>
  </si>
  <si>
    <t>HORAS</t>
  </si>
  <si>
    <t>OBSERVAÇÃO</t>
  </si>
  <si>
    <t>HORA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</si>
</sst>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&quot;R$&quot;* #,##0.00_);_(&quot;R$&quot;* \(#,##0.00\);_(&quot;R$&quot;* &quot;-&quot;??_);_(@_)"/>
    <numFmt numFmtId="165" formatCode="[$-F400]h:mm:ss\ AM/PM"/>
    <numFmt numFmtId="166" formatCode="h:mm;@"/>
  </numFmts>
  <fonts count="7">
    <font>
      <sz val="11"/>
      <color indexed="8"/>
      <name val="Calibri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0"/>
      <name val="Calibri"/>
      <family val="2"/>
    </font>
    <font>
      <sz val="8"/>
      <name val="Calibri"/>
    </font>
    <font>
      <sz val="11"/>
      <color theme="1"/>
      <name val="Calibri"/>
      <family val="2"/>
    </font>
    <font>
      <sz val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 applyFill="0" applyProtection="0"/>
    <xf numFmtId="0" fontId="2" fillId="0" borderId="0" applyFill="0" applyProtection="0"/>
    <xf numFmtId="0" fontId="1" fillId="0" borderId="0"/>
    <xf numFmtId="0" fontId="2" fillId="0" borderId="0" applyFill="0" applyProtection="0"/>
  </cellStyleXfs>
  <cellXfs count="56">
    <xf numFmtId="0" fontId="0" fillId="0" borderId="0" xfId="0" applyFill="1" applyProtection="1"/>
    <xf numFmtId="0" fontId="0" fillId="0" borderId="0" xfId="0" applyFill="1" applyAlignment="1" applyProtection="1">
      <alignment horizontal="center"/>
    </xf>
    <xf numFmtId="0" fontId="0" fillId="0" borderId="0" xfId="0" applyFill="1" applyAlignment="1" applyProtection="1">
      <alignment horizontal="left"/>
    </xf>
    <xf numFmtId="0" fontId="0" fillId="0" borderId="0" xfId="0" applyFill="1" applyAlignment="1" applyProtection="1">
      <alignment horizontal="center" vertical="center"/>
    </xf>
    <xf numFmtId="0" fontId="2" fillId="0" borderId="0" xfId="0" applyFont="1" applyFill="1" applyProtection="1"/>
    <xf numFmtId="14" fontId="0" fillId="0" borderId="0" xfId="0" applyNumberFormat="1" applyFill="1" applyProtection="1"/>
    <xf numFmtId="0" fontId="0" fillId="0" borderId="0" xfId="0" applyFill="1" applyAlignment="1" applyProtection="1">
      <alignment horizontal="right"/>
    </xf>
    <xf numFmtId="0" fontId="3" fillId="4" borderId="9" xfId="0" applyFont="1" applyFill="1" applyBorder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/>
    </xf>
    <xf numFmtId="14" fontId="3" fillId="4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left" vertical="center"/>
    </xf>
    <xf numFmtId="14" fontId="0" fillId="0" borderId="0" xfId="0" applyNumberFormat="1" applyFill="1" applyAlignment="1" applyProtection="1">
      <alignment horizontal="left"/>
    </xf>
    <xf numFmtId="0" fontId="2" fillId="0" borderId="0" xfId="0" applyFont="1" applyFill="1" applyAlignment="1" applyProtection="1">
      <alignment horizontal="left" vertical="center"/>
    </xf>
    <xf numFmtId="14" fontId="0" fillId="0" borderId="0" xfId="0" applyNumberFormat="1" applyFill="1" applyAlignment="1" applyProtection="1">
      <alignment horizontal="left" vertical="center"/>
    </xf>
    <xf numFmtId="164" fontId="0" fillId="0" borderId="0" xfId="0" applyNumberFormat="1" applyFill="1" applyAlignment="1" applyProtection="1">
      <alignment horizontal="left"/>
    </xf>
    <xf numFmtId="0" fontId="0" fillId="0" borderId="0" xfId="0" applyFill="1" applyAlignment="1" applyProtection="1">
      <alignment horizontal="right" vertical="center"/>
    </xf>
    <xf numFmtId="0" fontId="3" fillId="4" borderId="2" xfId="0" applyFont="1" applyFill="1" applyBorder="1" applyAlignment="1" applyProtection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7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vertical="center"/>
    </xf>
    <xf numFmtId="1" fontId="0" fillId="0" borderId="0" xfId="0" applyNumberFormat="1" applyFill="1" applyAlignment="1" applyProtection="1">
      <alignment horizontal="center"/>
    </xf>
    <xf numFmtId="165" fontId="0" fillId="0" borderId="0" xfId="0" applyNumberFormat="1" applyFill="1" applyProtection="1"/>
    <xf numFmtId="0" fontId="0" fillId="0" borderId="0" xfId="0" applyFill="1" applyAlignment="1" applyProtection="1">
      <alignment vertical="center"/>
    </xf>
    <xf numFmtId="0" fontId="3" fillId="5" borderId="7" xfId="0" applyFont="1" applyFill="1" applyBorder="1" applyAlignment="1">
      <alignment horizontal="right" vertical="center"/>
    </xf>
    <xf numFmtId="14" fontId="0" fillId="0" borderId="0" xfId="0" applyNumberFormat="1" applyFill="1" applyAlignment="1" applyProtection="1">
      <alignment vertical="center"/>
    </xf>
    <xf numFmtId="0" fontId="2" fillId="0" borderId="0" xfId="0" applyFont="1" applyFill="1" applyAlignment="1" applyProtection="1">
      <alignment vertical="center"/>
    </xf>
    <xf numFmtId="164" fontId="0" fillId="0" borderId="0" xfId="0" applyNumberFormat="1" applyFill="1" applyAlignment="1" applyProtection="1">
      <alignment vertical="center"/>
    </xf>
    <xf numFmtId="49" fontId="0" fillId="0" borderId="0" xfId="0" applyNumberFormat="1" applyFill="1" applyAlignment="1" applyProtection="1">
      <alignment horizontal="center"/>
    </xf>
    <xf numFmtId="0" fontId="5" fillId="0" borderId="0" xfId="0" applyFont="1" applyFill="1" applyProtection="1"/>
    <xf numFmtId="14" fontId="5" fillId="0" borderId="0" xfId="0" applyNumberFormat="1" applyFont="1" applyFill="1" applyProtection="1"/>
    <xf numFmtId="1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49" fontId="5" fillId="0" borderId="0" xfId="0" applyNumberFormat="1" applyFont="1" applyFill="1" applyAlignment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</xf>
    <xf numFmtId="3" fontId="0" fillId="0" borderId="0" xfId="0" applyNumberFormat="1" applyFill="1" applyProtection="1"/>
    <xf numFmtId="0" fontId="3" fillId="4" borderId="3" xfId="0" applyFont="1" applyFill="1" applyBorder="1" applyAlignment="1" applyProtection="1">
      <alignment horizontal="left" vertical="center"/>
    </xf>
    <xf numFmtId="0" fontId="3" fillId="2" borderId="7" xfId="0" applyFont="1" applyFill="1" applyBorder="1" applyAlignment="1">
      <alignment horizontal="left" vertical="center" indent="1"/>
    </xf>
    <xf numFmtId="0" fontId="0" fillId="0" borderId="0" xfId="0" applyFill="1" applyAlignment="1" applyProtection="1">
      <alignment horizontal="left" indent="1"/>
    </xf>
    <xf numFmtId="0" fontId="3" fillId="2" borderId="6" xfId="0" applyFont="1" applyFill="1" applyBorder="1" applyAlignment="1">
      <alignment horizontal="left" vertical="center" indent="1"/>
    </xf>
    <xf numFmtId="0" fontId="0" fillId="0" borderId="0" xfId="0" applyFill="1" applyAlignment="1" applyProtection="1">
      <alignment horizontal="left" vertical="center" indent="1"/>
    </xf>
    <xf numFmtId="0" fontId="2" fillId="0" borderId="0" xfId="0" applyFont="1" applyFill="1" applyAlignment="1" applyProtection="1">
      <alignment horizontal="center"/>
    </xf>
    <xf numFmtId="166" fontId="5" fillId="0" borderId="0" xfId="0" applyNumberFormat="1" applyFont="1" applyFill="1" applyAlignment="1">
      <alignment horizontal="center" vertical="center"/>
    </xf>
    <xf numFmtId="166" fontId="0" fillId="0" borderId="0" xfId="0" applyNumberFormat="1" applyFill="1" applyAlignment="1" applyProtection="1">
      <alignment horizontal="center"/>
    </xf>
    <xf numFmtId="14" fontId="2" fillId="3" borderId="4" xfId="0" applyNumberFormat="1" applyFont="1" applyFill="1" applyBorder="1" applyProtection="1"/>
    <xf numFmtId="166" fontId="2" fillId="3" borderId="5" xfId="0" applyNumberFormat="1" applyFont="1" applyFill="1" applyBorder="1" applyProtection="1"/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2" fillId="3" borderId="4" xfId="0" applyFont="1" applyFill="1" applyBorder="1" applyAlignment="1" applyProtection="1">
      <alignment horizontal="center"/>
    </xf>
    <xf numFmtId="0" fontId="2" fillId="3" borderId="8" xfId="0" applyFont="1" applyFill="1" applyBorder="1" applyAlignment="1" applyProtection="1">
      <alignment horizontal="center"/>
    </xf>
    <xf numFmtId="0" fontId="2" fillId="3" borderId="5" xfId="0" applyFont="1" applyFill="1" applyBorder="1" applyAlignment="1" applyProtection="1">
      <alignment horizontal="center"/>
    </xf>
    <xf numFmtId="0" fontId="2" fillId="3" borderId="4" xfId="0" applyFont="1" applyFill="1" applyBorder="1" applyAlignment="1" applyProtection="1">
      <alignment horizontal="left"/>
    </xf>
    <xf numFmtId="0" fontId="2" fillId="3" borderId="5" xfId="0" applyFont="1" applyFill="1" applyBorder="1" applyAlignment="1" applyProtection="1">
      <alignment horizontal="left"/>
    </xf>
    <xf numFmtId="49" fontId="2" fillId="3" borderId="4" xfId="0" applyNumberFormat="1" applyFont="1" applyFill="1" applyBorder="1" applyAlignment="1" applyProtection="1">
      <alignment horizontal="center"/>
    </xf>
    <xf numFmtId="49" fontId="2" fillId="3" borderId="5" xfId="0" applyNumberFormat="1" applyFont="1" applyFill="1" applyBorder="1" applyAlignment="1" applyProtection="1">
      <alignment horizontal="center"/>
    </xf>
  </cellXfs>
  <cellStyles count="4">
    <cellStyle name="Normal" xfId="0" builtinId="0"/>
    <cellStyle name="Normal 2" xfId="3" xr:uid="{00000000-0005-0000-0000-000001000000}"/>
    <cellStyle name="Normal 2 2" xfId="1" xr:uid="{00000000-0005-0000-0000-000002000000}"/>
    <cellStyle name="Normal 3" xfId="2" xr:uid="{00000000-0005-0000-0000-00000300000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h:mm;@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ont>
        <color theme="1"/>
        <family val="2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theme="1"/>
        <family val="2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theme="1"/>
        <family val="2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color theme="0"/>
      </font>
      <fill>
        <patternFill patternType="solid">
          <fgColor theme="9" tint="-0.499984740745262"/>
          <bgColor theme="9" tint="-0.499984740745262"/>
        </patternFill>
      </fill>
      <border>
        <horizontal style="thin">
          <color theme="9" tint="-0.499984740745262"/>
        </horizontal>
      </border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  <border>
        <horizontal style="thin">
          <color theme="9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9" tint="0.79998168889431442"/>
          <bgColor theme="9" tint="0.79998168889431442"/>
        </patternFill>
      </fill>
      <border>
        <top style="thin">
          <color theme="9" tint="0.39997558519241921"/>
        </top>
        <bottom style="thin">
          <color theme="9" tint="0.39997558519241921"/>
        </bottom>
      </border>
    </dxf>
    <dxf>
      <font>
        <b/>
        <color theme="1"/>
      </font>
      <border>
        <bottom style="thin">
          <color theme="9" tint="0.79998168889431442"/>
        </bottom>
      </border>
    </dxf>
    <dxf>
      <border>
        <left style="thin">
          <color theme="9" tint="0.79998168889431442"/>
        </left>
        <right style="thin">
          <color theme="9" tint="0.79998168889431442"/>
        </right>
      </border>
    </dxf>
    <dxf>
      <fill>
        <patternFill patternType="solid">
          <fgColor theme="9" tint="0.39997558519241921"/>
          <bgColor theme="9" tint="0.39997558519241921"/>
        </patternFill>
      </fill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  <border>
        <bottom style="thin">
          <color theme="9"/>
        </bottom>
        <horizontal style="thin">
          <color theme="9" tint="-0.499984740745262"/>
        </horizontal>
      </border>
    </dxf>
    <dxf>
      <font>
        <color theme="1"/>
      </font>
      <fill>
        <patternFill patternType="solid">
          <fgColor theme="9" tint="0.59999389629810485"/>
          <bgColor theme="9" tint="0.59999389629810485"/>
        </patternFill>
      </fill>
      <border>
        <top style="thin">
          <color theme="9" tint="0.79995117038483843"/>
        </top>
        <bottom style="thin">
          <color theme="9" tint="0.79995117038483843"/>
        </bottom>
        <vertical style="thin">
          <color theme="9" tint="0.79995117038483843"/>
        </vertical>
        <horizontal style="thin">
          <color theme="9" tint="0.79998168889431442"/>
        </horizontal>
      </border>
    </dxf>
  </dxfs>
  <tableStyles count="1" defaultTableStyle="TableStyleMedium2" defaultPivotStyle="PivotStyleLight16">
    <tableStyle name="PivotStyleDark7 2" table="0" count="10" xr9:uid="{00000000-0011-0000-FFFF-FFFF00000000}">
      <tableStyleElement type="wholeTable" dxfId="31"/>
      <tableStyleElement type="headerRow" dxfId="30"/>
      <tableStyleElement type="totalRow" dxfId="29"/>
      <tableStyleElement type="secondRowStripe" dxfId="28"/>
      <tableStyleElement type="secondColumnStripe" dxfId="27"/>
      <tableStyleElement type="first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hyperlink" Target="#CRM!A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'CLIENTES'!A1"/><Relationship Id="rId5" Type="http://schemas.openxmlformats.org/officeDocument/2006/relationships/hyperlink" Target="#'RELATORIO'!A1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LIENTES'!A1"/><Relationship Id="rId3" Type="http://schemas.openxmlformats.org/officeDocument/2006/relationships/image" Target="../media/image3.png"/><Relationship Id="rId7" Type="http://schemas.openxmlformats.org/officeDocument/2006/relationships/hyperlink" Target="#'RELATORIO'!A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10" Type="http://schemas.openxmlformats.org/officeDocument/2006/relationships/hyperlink" Target="#SALVAR!A1"/><Relationship Id="rId4" Type="http://schemas.openxmlformats.org/officeDocument/2006/relationships/image" Target="../media/image4.svg"/><Relationship Id="rId9" Type="http://schemas.openxmlformats.org/officeDocument/2006/relationships/hyperlink" Target="#CRM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RM!A1"/><Relationship Id="rId2" Type="http://schemas.openxmlformats.org/officeDocument/2006/relationships/hyperlink" Target="#'CLIENTES'!A1"/><Relationship Id="rId1" Type="http://schemas.openxmlformats.org/officeDocument/2006/relationships/hyperlink" Target="#'RELATORIO'!A1"/><Relationship Id="rId4" Type="http://schemas.openxmlformats.org/officeDocument/2006/relationships/hyperlink" Target="#SALVAR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RM!A1"/><Relationship Id="rId2" Type="http://schemas.openxmlformats.org/officeDocument/2006/relationships/hyperlink" Target="#'CLIENTES'!A1"/><Relationship Id="rId1" Type="http://schemas.openxmlformats.org/officeDocument/2006/relationships/hyperlink" Target="#'RELATORIO'!A1"/><Relationship Id="rId4" Type="http://schemas.openxmlformats.org/officeDocument/2006/relationships/hyperlink" Target="#SALVAR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180975</xdr:colOff>
      <xdr:row>3</xdr:row>
      <xdr:rowOff>114300</xdr:rowOff>
    </xdr:from>
    <xdr:to>
      <xdr:col>11</xdr:col>
      <xdr:colOff>438600</xdr:colOff>
      <xdr:row>5</xdr:row>
      <xdr:rowOff>163099</xdr:rowOff>
    </xdr:to>
    <xdr:grpSp>
      <xdr:nvGrpSpPr>
        <xdr:cNvPr id="127" name="Agrupar 126">
          <a:extLst>
            <a:ext uri="{FF2B5EF4-FFF2-40B4-BE49-F238E27FC236}">
              <a16:creationId xmlns:a16="http://schemas.microsoft.com/office/drawing/2014/main" id="{C4C12765-16F2-4F0A-989C-C5E4DC2668EF}"/>
            </a:ext>
          </a:extLst>
        </xdr:cNvPr>
        <xdr:cNvGrpSpPr/>
      </xdr:nvGrpSpPr>
      <xdr:grpSpPr>
        <a:xfrm>
          <a:off x="6819900" y="561975"/>
          <a:ext cx="972000" cy="305974"/>
          <a:chOff x="6457949" y="552448"/>
          <a:chExt cx="936000" cy="303711"/>
        </a:xfrm>
      </xdr:grpSpPr>
      <xdr:sp macro="[0]!CLIENTE_SALVAR" textlink="">
        <xdr:nvSpPr>
          <xdr:cNvPr id="128" name="Retângulo: Cantos Arredondados 127">
            <a:extLst>
              <a:ext uri="{FF2B5EF4-FFF2-40B4-BE49-F238E27FC236}">
                <a16:creationId xmlns:a16="http://schemas.microsoft.com/office/drawing/2014/main" id="{2D15821F-B9C3-4B71-9027-0AF9551F5051}"/>
              </a:ext>
            </a:extLst>
          </xdr:cNvPr>
          <xdr:cNvSpPr/>
        </xdr:nvSpPr>
        <xdr:spPr>
          <a:xfrm>
            <a:off x="6457949" y="552448"/>
            <a:ext cx="936000" cy="303711"/>
          </a:xfrm>
          <a:prstGeom prst="roundRect">
            <a:avLst/>
          </a:prstGeom>
          <a:solidFill>
            <a:schemeClr val="bg2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900" b="1">
                <a:solidFill>
                  <a:srgbClr val="00B050"/>
                </a:solidFill>
              </a:rPr>
              <a:t>SALVAR</a:t>
            </a:r>
            <a:endParaRPr lang="pt-BR" sz="1000" b="1">
              <a:solidFill>
                <a:srgbClr val="00B050"/>
              </a:solidFill>
            </a:endParaRPr>
          </a:p>
        </xdr:txBody>
      </xdr:sp>
      <xdr:pic>
        <xdr:nvPicPr>
          <xdr:cNvPr id="129" name="Gráfico 128" descr="Sincronização com a nuvem com preenchimento sólido">
            <a:extLst>
              <a:ext uri="{FF2B5EF4-FFF2-40B4-BE49-F238E27FC236}">
                <a16:creationId xmlns:a16="http://schemas.microsoft.com/office/drawing/2014/main" id="{D118F669-5B33-400B-8F84-B8989F1788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506818" y="571357"/>
            <a:ext cx="212582" cy="250136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180975</xdr:colOff>
      <xdr:row>6</xdr:row>
      <xdr:rowOff>28574</xdr:rowOff>
    </xdr:from>
    <xdr:to>
      <xdr:col>11</xdr:col>
      <xdr:colOff>438600</xdr:colOff>
      <xdr:row>9</xdr:row>
      <xdr:rowOff>40663</xdr:rowOff>
    </xdr:to>
    <xdr:grpSp>
      <xdr:nvGrpSpPr>
        <xdr:cNvPr id="130" name="Agrupar 129">
          <a:extLst>
            <a:ext uri="{FF2B5EF4-FFF2-40B4-BE49-F238E27FC236}">
              <a16:creationId xmlns:a16="http://schemas.microsoft.com/office/drawing/2014/main" id="{0FDEAD5B-3D64-49F3-AC84-C52B00FAEF92}"/>
            </a:ext>
          </a:extLst>
        </xdr:cNvPr>
        <xdr:cNvGrpSpPr/>
      </xdr:nvGrpSpPr>
      <xdr:grpSpPr>
        <a:xfrm>
          <a:off x="6819900" y="933449"/>
          <a:ext cx="972000" cy="326414"/>
          <a:chOff x="6438900" y="981075"/>
          <a:chExt cx="936000" cy="324000"/>
        </a:xfrm>
        <a:effectLst>
          <a:outerShdw blurRad="50800" dist="38100" algn="l" rotWithShape="0">
            <a:prstClr val="black">
              <a:alpha val="40000"/>
            </a:prstClr>
          </a:outerShdw>
        </a:effectLst>
      </xdr:grpSpPr>
      <xdr:sp macro="[0]!CLIENTE_LIMPAR" textlink="">
        <xdr:nvSpPr>
          <xdr:cNvPr id="131" name="Retângulo: Cantos Arredondados 130">
            <a:extLst>
              <a:ext uri="{FF2B5EF4-FFF2-40B4-BE49-F238E27FC236}">
                <a16:creationId xmlns:a16="http://schemas.microsoft.com/office/drawing/2014/main" id="{EBD7826A-D421-429F-945C-88DF7CCD1D73}"/>
              </a:ext>
            </a:extLst>
          </xdr:cNvPr>
          <xdr:cNvSpPr/>
        </xdr:nvSpPr>
        <xdr:spPr>
          <a:xfrm>
            <a:off x="6438900" y="981075"/>
            <a:ext cx="936000" cy="324000"/>
          </a:xfrm>
          <a:prstGeom prst="roundRect">
            <a:avLst/>
          </a:prstGeom>
          <a:solidFill>
            <a:schemeClr val="bg2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900" b="1">
                <a:solidFill>
                  <a:schemeClr val="tx1"/>
                </a:solidFill>
              </a:rPr>
              <a:t>LIMPAR</a:t>
            </a:r>
            <a:endParaRPr lang="pt-BR" sz="1100" b="1">
              <a:solidFill>
                <a:schemeClr val="tx1"/>
              </a:solidFill>
            </a:endParaRPr>
          </a:p>
        </xdr:txBody>
      </xdr:sp>
      <xdr:pic macro="[0]!CLIENTE_LIMPAR">
        <xdr:nvPicPr>
          <xdr:cNvPr id="132" name="Gráfico 131" descr="Borracha estrutura de tópicos">
            <a:extLst>
              <a:ext uri="{FF2B5EF4-FFF2-40B4-BE49-F238E27FC236}">
                <a16:creationId xmlns:a16="http://schemas.microsoft.com/office/drawing/2014/main" id="{0E25131F-9D01-4BEC-92C9-488347EF6B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477000" y="1019035"/>
            <a:ext cx="244174" cy="20590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98925</xdr:colOff>
      <xdr:row>1210</xdr:row>
      <xdr:rowOff>28350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5C91976-5CA1-43D6-AC98-254638B0A422}"/>
            </a:ext>
          </a:extLst>
        </xdr:cNvPr>
        <xdr:cNvGrpSpPr/>
      </xdr:nvGrpSpPr>
      <xdr:grpSpPr>
        <a:xfrm>
          <a:off x="0" y="0"/>
          <a:ext cx="1356225" cy="229295100"/>
          <a:chOff x="0" y="0"/>
          <a:chExt cx="1356225" cy="2292951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4158A399-6A81-4AD0-BF0A-572E0E8E6092}"/>
              </a:ext>
            </a:extLst>
          </xdr:cNvPr>
          <xdr:cNvSpPr>
            <a:spLocks/>
          </xdr:cNvSpPr>
        </xdr:nvSpPr>
        <xdr:spPr>
          <a:xfrm>
            <a:off x="3" y="0"/>
            <a:ext cx="1260000" cy="22929510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D1">
        <xdr:nvSpPr>
          <xdr:cNvPr id="48" name="Retângulo: Cantos Arredondados 47">
            <a:extLst>
              <a:ext uri="{FF2B5EF4-FFF2-40B4-BE49-F238E27FC236}">
                <a16:creationId xmlns:a16="http://schemas.microsoft.com/office/drawing/2014/main" id="{8D3831F4-94E0-44B1-B222-4C9125D93E6A}"/>
              </a:ext>
            </a:extLst>
          </xdr:cNvPr>
          <xdr:cNvSpPr/>
        </xdr:nvSpPr>
        <xdr:spPr>
          <a:xfrm>
            <a:off x="0" y="0"/>
            <a:ext cx="1260000" cy="265575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61D549A-B3B1-4A72-BB2C-937DE2655918}" type="TxLink">
              <a:rPr lang="en-US" sz="11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pPr algn="ctr"/>
              <a:t> </a:t>
            </a:fld>
            <a:endParaRPr lang="pt-BR" sz="1100" b="1" u="none">
              <a:solidFill>
                <a:schemeClr val="tx1">
                  <a:lumMod val="75000"/>
                  <a:lumOff val="25000"/>
                </a:schemeClr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  <xdr:grpSp>
        <xdr:nvGrpSpPr>
          <xdr:cNvPr id="166" name="Agrupar 165">
            <a:extLst>
              <a:ext uri="{FF2B5EF4-FFF2-40B4-BE49-F238E27FC236}">
                <a16:creationId xmlns:a16="http://schemas.microsoft.com/office/drawing/2014/main" id="{336D66F9-B7F9-4A73-9BB2-874F59DDDD71}"/>
              </a:ext>
            </a:extLst>
          </xdr:cNvPr>
          <xdr:cNvGrpSpPr/>
        </xdr:nvGrpSpPr>
        <xdr:grpSpPr>
          <a:xfrm>
            <a:off x="276225" y="1726236"/>
            <a:ext cx="1080000" cy="398362"/>
            <a:chOff x="5762625" y="2571750"/>
            <a:chExt cx="1085850" cy="400050"/>
          </a:xfrm>
        </xdr:grpSpPr>
        <xdr:sp macro="" textlink="">
          <xdr:nvSpPr>
            <xdr:cNvPr id="167" name="Fluxograma: Processo Alternativo 166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3CDF5452-0BC6-4104-A3B8-4A409DEAFD0A}"/>
                </a:ext>
              </a:extLst>
            </xdr:cNvPr>
            <xdr:cNvSpPr/>
          </xdr:nvSpPr>
          <xdr:spPr>
            <a:xfrm>
              <a:off x="5762625" y="2579158"/>
              <a:ext cx="1057276" cy="392642"/>
            </a:xfrm>
            <a:prstGeom prst="flowChartAlternateProcess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r"/>
              <a:r>
                <a:rPr lang="pt-BR" sz="1200" b="1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Arial" panose="020B0604020202020204" pitchFamily="34" charset="0"/>
                </a:rPr>
                <a:t>RELATÓRIO</a:t>
              </a:r>
              <a:endParaRPr lang="pt-BR" sz="1000" b="1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68" name="Retângulo 167">
              <a:extLst>
                <a:ext uri="{FF2B5EF4-FFF2-40B4-BE49-F238E27FC236}">
                  <a16:creationId xmlns:a16="http://schemas.microsoft.com/office/drawing/2014/main" id="{8C866FB9-2F2D-4C5C-8440-2160990AFDB6}"/>
                </a:ext>
              </a:extLst>
            </xdr:cNvPr>
            <xdr:cNvSpPr/>
          </xdr:nvSpPr>
          <xdr:spPr>
            <a:xfrm>
              <a:off x="6753225" y="2571750"/>
              <a:ext cx="95250" cy="400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pt-BR" sz="1000" b="1">
                <a:solidFill>
                  <a:schemeClr val="bg2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69" name="Agrupar 168">
            <a:extLst>
              <a:ext uri="{FF2B5EF4-FFF2-40B4-BE49-F238E27FC236}">
                <a16:creationId xmlns:a16="http://schemas.microsoft.com/office/drawing/2014/main" id="{F1228DF8-6309-436C-8AE4-46750DBD01F7}"/>
              </a:ext>
            </a:extLst>
          </xdr:cNvPr>
          <xdr:cNvGrpSpPr/>
        </xdr:nvGrpSpPr>
        <xdr:grpSpPr>
          <a:xfrm>
            <a:off x="276225" y="1289934"/>
            <a:ext cx="1080000" cy="398362"/>
            <a:chOff x="5762625" y="2571750"/>
            <a:chExt cx="1085850" cy="400050"/>
          </a:xfrm>
        </xdr:grpSpPr>
        <xdr:sp macro="" textlink="">
          <xdr:nvSpPr>
            <xdr:cNvPr id="170" name="Fluxograma: Processo Alternativo 16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6A27F9E6-4979-4F8B-8CEF-C142391F79A1}"/>
                </a:ext>
              </a:extLst>
            </xdr:cNvPr>
            <xdr:cNvSpPr/>
          </xdr:nvSpPr>
          <xdr:spPr>
            <a:xfrm>
              <a:off x="5762625" y="2579158"/>
              <a:ext cx="1057276" cy="392642"/>
            </a:xfrm>
            <a:prstGeom prst="flowChartAlternateProcess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r"/>
              <a:r>
                <a:rPr lang="pt-BR" sz="1200" b="1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Arial" panose="020B0604020202020204" pitchFamily="34" charset="0"/>
                </a:rPr>
                <a:t>CLIENTES</a:t>
              </a:r>
              <a:endParaRPr lang="pt-BR" sz="1000" b="1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71" name="Retângulo 170">
              <a:extLst>
                <a:ext uri="{FF2B5EF4-FFF2-40B4-BE49-F238E27FC236}">
                  <a16:creationId xmlns:a16="http://schemas.microsoft.com/office/drawing/2014/main" id="{3CCC765E-3F50-4731-91CC-E04170BDA8E2}"/>
                </a:ext>
              </a:extLst>
            </xdr:cNvPr>
            <xdr:cNvSpPr/>
          </xdr:nvSpPr>
          <xdr:spPr>
            <a:xfrm>
              <a:off x="6753225" y="2571750"/>
              <a:ext cx="95250" cy="400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pt-BR" sz="1000" b="1">
                <a:solidFill>
                  <a:schemeClr val="bg2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72" name="Agrupar 171">
            <a:extLst>
              <a:ext uri="{FF2B5EF4-FFF2-40B4-BE49-F238E27FC236}">
                <a16:creationId xmlns:a16="http://schemas.microsoft.com/office/drawing/2014/main" id="{5F7B5192-570D-4AAA-9AA0-49EEB1B155D9}"/>
              </a:ext>
            </a:extLst>
          </xdr:cNvPr>
          <xdr:cNvGrpSpPr/>
        </xdr:nvGrpSpPr>
        <xdr:grpSpPr>
          <a:xfrm>
            <a:off x="276225" y="853633"/>
            <a:ext cx="1080000" cy="398362"/>
            <a:chOff x="5762625" y="2571750"/>
            <a:chExt cx="1085850" cy="400050"/>
          </a:xfrm>
        </xdr:grpSpPr>
        <xdr:sp macro="" textlink="">
          <xdr:nvSpPr>
            <xdr:cNvPr id="173" name="Fluxograma: Processo Alternativo 172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2FE68AE5-0C71-4530-9BA7-9B78EA5A5B90}"/>
                </a:ext>
              </a:extLst>
            </xdr:cNvPr>
            <xdr:cNvSpPr/>
          </xdr:nvSpPr>
          <xdr:spPr>
            <a:xfrm>
              <a:off x="5762625" y="2579158"/>
              <a:ext cx="1057276" cy="392642"/>
            </a:xfrm>
            <a:prstGeom prst="flowChartAlternateProcess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lvl="0" indent="0" algn="r"/>
              <a:r>
                <a:rPr lang="pt-BR" sz="1200" b="1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Arial" panose="020B0604020202020204" pitchFamily="34" charset="0"/>
                </a:rPr>
                <a:t>CRM</a:t>
              </a:r>
              <a:endParaRPr lang="pt-BR" sz="1000" b="1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74" name="Retângulo 173">
              <a:extLst>
                <a:ext uri="{FF2B5EF4-FFF2-40B4-BE49-F238E27FC236}">
                  <a16:creationId xmlns:a16="http://schemas.microsoft.com/office/drawing/2014/main" id="{F1ED2FDA-9A21-4AA2-B295-BADAE8134773}"/>
                </a:ext>
              </a:extLst>
            </xdr:cNvPr>
            <xdr:cNvSpPr/>
          </xdr:nvSpPr>
          <xdr:spPr>
            <a:xfrm>
              <a:off x="6753225" y="2571750"/>
              <a:ext cx="95250" cy="400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pt-BR" sz="1000" b="1">
                <a:solidFill>
                  <a:schemeClr val="bg2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75" name="Agrupar 174">
            <a:extLst>
              <a:ext uri="{FF2B5EF4-FFF2-40B4-BE49-F238E27FC236}">
                <a16:creationId xmlns:a16="http://schemas.microsoft.com/office/drawing/2014/main" id="{62184443-187C-4E54-95A7-F4CB63B1D9E8}"/>
              </a:ext>
            </a:extLst>
          </xdr:cNvPr>
          <xdr:cNvGrpSpPr/>
        </xdr:nvGrpSpPr>
        <xdr:grpSpPr>
          <a:xfrm>
            <a:off x="276225" y="417331"/>
            <a:ext cx="1080000" cy="397914"/>
            <a:chOff x="5762625" y="2571750"/>
            <a:chExt cx="1085850" cy="400050"/>
          </a:xfrm>
        </xdr:grpSpPr>
        <xdr:sp macro="" textlink="">
          <xdr:nvSpPr>
            <xdr:cNvPr id="176" name="Fluxograma: Processo Alternativo 175">
              <a:extLst>
                <a:ext uri="{FF2B5EF4-FFF2-40B4-BE49-F238E27FC236}">
                  <a16:creationId xmlns:a16="http://schemas.microsoft.com/office/drawing/2014/main" id="{650FD0C1-9154-4F93-8286-DE98966C7D86}"/>
                </a:ext>
              </a:extLst>
            </xdr:cNvPr>
            <xdr:cNvSpPr/>
          </xdr:nvSpPr>
          <xdr:spPr>
            <a:xfrm>
              <a:off x="5762625" y="2579158"/>
              <a:ext cx="1057276" cy="392642"/>
            </a:xfrm>
            <a:prstGeom prst="flowChartAlternateProcess">
              <a:avLst/>
            </a:prstGeom>
            <a:ln>
              <a:noFill/>
            </a:ln>
          </xdr:spPr>
          <xdr:style>
            <a:lnRef idx="2">
              <a:schemeClr val="accent5">
                <a:shade val="50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lvl="0" indent="0" algn="r"/>
              <a:r>
                <a:rPr lang="pt-BR" sz="12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CADASTRAR</a:t>
              </a:r>
              <a:endParaRPr lang="pt-BR" sz="1100" b="1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77" name="Retângulo 176">
              <a:extLst>
                <a:ext uri="{FF2B5EF4-FFF2-40B4-BE49-F238E27FC236}">
                  <a16:creationId xmlns:a16="http://schemas.microsoft.com/office/drawing/2014/main" id="{5C5705D4-91E0-4FB3-9DF6-A53C878099CE}"/>
                </a:ext>
              </a:extLst>
            </xdr:cNvPr>
            <xdr:cNvSpPr/>
          </xdr:nvSpPr>
          <xdr:spPr>
            <a:xfrm>
              <a:off x="6753225" y="2571750"/>
              <a:ext cx="95250" cy="400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B25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A3238DCB-9F02-45F0-9D20-A1E68FCC4E61}"/>
              </a:ext>
            </a:extLst>
          </xdr:cNvPr>
          <xdr:cNvSpPr/>
        </xdr:nvSpPr>
        <xdr:spPr>
          <a:xfrm>
            <a:off x="119736" y="3459667"/>
            <a:ext cx="1020528" cy="265575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D51AC03-A331-4C95-B3EB-0BE97D816EE5}" type="TxLink">
              <a:rPr lang="en-US" sz="1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04/12/2022</a:t>
            </a:fld>
            <a:endParaRPr lang="pt-BR" sz="1200" b="1" u="none">
              <a:solidFill>
                <a:schemeClr val="tx1">
                  <a:lumMod val="75000"/>
                  <a:lumOff val="25000"/>
                </a:schemeClr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523875</xdr:colOff>
      <xdr:row>9</xdr:row>
      <xdr:rowOff>66676</xdr:rowOff>
    </xdr:from>
    <xdr:to>
      <xdr:col>10</xdr:col>
      <xdr:colOff>781500</xdr:colOff>
      <xdr:row>11</xdr:row>
      <xdr:rowOff>115475</xdr:rowOff>
    </xdr:to>
    <xdr:grpSp>
      <xdr:nvGrpSpPr>
        <xdr:cNvPr id="113" name="Agrupar 112">
          <a:extLst>
            <a:ext uri="{FF2B5EF4-FFF2-40B4-BE49-F238E27FC236}">
              <a16:creationId xmlns:a16="http://schemas.microsoft.com/office/drawing/2014/main" id="{BD6884FE-17DF-4A78-AAD1-3975AA060733}"/>
            </a:ext>
          </a:extLst>
        </xdr:cNvPr>
        <xdr:cNvGrpSpPr/>
      </xdr:nvGrpSpPr>
      <xdr:grpSpPr>
        <a:xfrm>
          <a:off x="6962775" y="895351"/>
          <a:ext cx="972000" cy="305974"/>
          <a:chOff x="6457949" y="552448"/>
          <a:chExt cx="936000" cy="303711"/>
        </a:xfrm>
        <a:effectLst>
          <a:outerShdw blurRad="50800" dist="38100" algn="l" rotWithShape="0">
            <a:prstClr val="black">
              <a:alpha val="40000"/>
            </a:prstClr>
          </a:outerShdw>
        </a:effectLst>
      </xdr:grpSpPr>
      <xdr:sp macro="[0]!CRM.CRM_SALVAR" textlink="">
        <xdr:nvSpPr>
          <xdr:cNvPr id="114" name="Retângulo: Cantos Arredondados 113">
            <a:extLst>
              <a:ext uri="{FF2B5EF4-FFF2-40B4-BE49-F238E27FC236}">
                <a16:creationId xmlns:a16="http://schemas.microsoft.com/office/drawing/2014/main" id="{BAA672D7-5A46-4A7E-AC1F-94BC011F5495}"/>
              </a:ext>
            </a:extLst>
          </xdr:cNvPr>
          <xdr:cNvSpPr/>
        </xdr:nvSpPr>
        <xdr:spPr>
          <a:xfrm>
            <a:off x="6457949" y="552448"/>
            <a:ext cx="936000" cy="303711"/>
          </a:xfrm>
          <a:prstGeom prst="roundRect">
            <a:avLst/>
          </a:prstGeom>
          <a:solidFill>
            <a:schemeClr val="bg2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900" b="1">
                <a:solidFill>
                  <a:srgbClr val="00B050"/>
                </a:solidFill>
              </a:rPr>
              <a:t>SALVAR</a:t>
            </a:r>
            <a:endParaRPr lang="pt-BR" sz="1000" b="1">
              <a:solidFill>
                <a:srgbClr val="00B050"/>
              </a:solidFill>
            </a:endParaRPr>
          </a:p>
        </xdr:txBody>
      </xdr:sp>
      <xdr:pic macro="[0]!CRM.CRM_SALVAR">
        <xdr:nvPicPr>
          <xdr:cNvPr id="115" name="Gráfico 114" descr="Sincronização com a nuvem com preenchimento sólido">
            <a:extLst>
              <a:ext uri="{FF2B5EF4-FFF2-40B4-BE49-F238E27FC236}">
                <a16:creationId xmlns:a16="http://schemas.microsoft.com/office/drawing/2014/main" id="{5DC45827-89B5-4A06-9209-416DF60171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506818" y="571357"/>
            <a:ext cx="212582" cy="250136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523875</xdr:colOff>
      <xdr:row>11</xdr:row>
      <xdr:rowOff>180975</xdr:rowOff>
    </xdr:from>
    <xdr:to>
      <xdr:col>10</xdr:col>
      <xdr:colOff>781500</xdr:colOff>
      <xdr:row>14</xdr:row>
      <xdr:rowOff>50189</xdr:rowOff>
    </xdr:to>
    <xdr:grpSp>
      <xdr:nvGrpSpPr>
        <xdr:cNvPr id="116" name="Agrupar 115">
          <a:extLst>
            <a:ext uri="{FF2B5EF4-FFF2-40B4-BE49-F238E27FC236}">
              <a16:creationId xmlns:a16="http://schemas.microsoft.com/office/drawing/2014/main" id="{9AB5F955-6EFE-407E-AEEC-B701099A4496}"/>
            </a:ext>
          </a:extLst>
        </xdr:cNvPr>
        <xdr:cNvGrpSpPr/>
      </xdr:nvGrpSpPr>
      <xdr:grpSpPr>
        <a:xfrm>
          <a:off x="6962775" y="1266825"/>
          <a:ext cx="972000" cy="326414"/>
          <a:chOff x="6438900" y="981075"/>
          <a:chExt cx="936000" cy="324000"/>
        </a:xfrm>
        <a:effectLst>
          <a:outerShdw blurRad="50800" dist="38100" algn="l" rotWithShape="0">
            <a:prstClr val="black">
              <a:alpha val="40000"/>
            </a:prstClr>
          </a:outerShdw>
        </a:effectLst>
      </xdr:grpSpPr>
      <xdr:sp macro="[0]!CRM_LIMPAR" textlink="">
        <xdr:nvSpPr>
          <xdr:cNvPr id="117" name="Retângulo: Cantos Arredondados 116">
            <a:extLst>
              <a:ext uri="{FF2B5EF4-FFF2-40B4-BE49-F238E27FC236}">
                <a16:creationId xmlns:a16="http://schemas.microsoft.com/office/drawing/2014/main" id="{AED735FC-9330-4462-803B-2E8D3B185609}"/>
              </a:ext>
            </a:extLst>
          </xdr:cNvPr>
          <xdr:cNvSpPr/>
        </xdr:nvSpPr>
        <xdr:spPr>
          <a:xfrm>
            <a:off x="6438900" y="981075"/>
            <a:ext cx="936000" cy="324000"/>
          </a:xfrm>
          <a:prstGeom prst="roundRect">
            <a:avLst/>
          </a:prstGeom>
          <a:solidFill>
            <a:schemeClr val="bg2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900" b="1">
                <a:solidFill>
                  <a:schemeClr val="tx1"/>
                </a:solidFill>
              </a:rPr>
              <a:t>LIMPAR</a:t>
            </a:r>
            <a:endParaRPr lang="pt-BR" sz="1100" b="1">
              <a:solidFill>
                <a:schemeClr val="tx1"/>
              </a:solidFill>
            </a:endParaRPr>
          </a:p>
        </xdr:txBody>
      </xdr:sp>
      <xdr:pic>
        <xdr:nvPicPr>
          <xdr:cNvPr id="118" name="Gráfico 117" descr="Borracha estrutura de tópicos">
            <a:extLst>
              <a:ext uri="{FF2B5EF4-FFF2-40B4-BE49-F238E27FC236}">
                <a16:creationId xmlns:a16="http://schemas.microsoft.com/office/drawing/2014/main" id="{97B0217E-D128-4457-BBC3-B308DD04C1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477000" y="1019035"/>
            <a:ext cx="244174" cy="20590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523875</xdr:colOff>
      <xdr:row>5</xdr:row>
      <xdr:rowOff>190500</xdr:rowOff>
    </xdr:from>
    <xdr:to>
      <xdr:col>10</xdr:col>
      <xdr:colOff>781500</xdr:colOff>
      <xdr:row>9</xdr:row>
      <xdr:rowOff>2564</xdr:rowOff>
    </xdr:to>
    <xdr:grpSp>
      <xdr:nvGrpSpPr>
        <xdr:cNvPr id="119" name="Agrupar 118">
          <a:extLst>
            <a:ext uri="{FF2B5EF4-FFF2-40B4-BE49-F238E27FC236}">
              <a16:creationId xmlns:a16="http://schemas.microsoft.com/office/drawing/2014/main" id="{3EA30261-F1E6-41DF-B003-EACE894BA09A}"/>
            </a:ext>
          </a:extLst>
        </xdr:cNvPr>
        <xdr:cNvGrpSpPr/>
      </xdr:nvGrpSpPr>
      <xdr:grpSpPr>
        <a:xfrm>
          <a:off x="6962775" y="504825"/>
          <a:ext cx="972000" cy="326414"/>
          <a:chOff x="7343775" y="1343024"/>
          <a:chExt cx="972000" cy="326414"/>
        </a:xfrm>
        <a:effectLst>
          <a:outerShdw blurRad="50800" dist="38100" algn="l" rotWithShape="0">
            <a:prstClr val="black">
              <a:alpha val="40000"/>
            </a:prstClr>
          </a:outerShdw>
        </a:effectLst>
      </xdr:grpSpPr>
      <xdr:sp macro="[0]!CRM.CRM_PESQUISAR" textlink="">
        <xdr:nvSpPr>
          <xdr:cNvPr id="120" name="Retângulo: Cantos Arredondados 119">
            <a:extLst>
              <a:ext uri="{FF2B5EF4-FFF2-40B4-BE49-F238E27FC236}">
                <a16:creationId xmlns:a16="http://schemas.microsoft.com/office/drawing/2014/main" id="{1EB3D1CC-24AB-4751-9112-8A363F6E3C3B}"/>
              </a:ext>
            </a:extLst>
          </xdr:cNvPr>
          <xdr:cNvSpPr/>
        </xdr:nvSpPr>
        <xdr:spPr>
          <a:xfrm>
            <a:off x="7343775" y="1343024"/>
            <a:ext cx="972000" cy="326414"/>
          </a:xfrm>
          <a:prstGeom prst="roundRect">
            <a:avLst/>
          </a:prstGeom>
          <a:solidFill>
            <a:schemeClr val="bg2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900" b="1">
                <a:solidFill>
                  <a:schemeClr val="accent1"/>
                </a:solidFill>
              </a:rPr>
              <a:t>PESQUISAR</a:t>
            </a:r>
            <a:endParaRPr lang="pt-BR" sz="1100" b="1">
              <a:solidFill>
                <a:schemeClr val="accent1"/>
              </a:solidFill>
            </a:endParaRPr>
          </a:p>
        </xdr:txBody>
      </xdr:sp>
      <xdr:pic>
        <xdr:nvPicPr>
          <xdr:cNvPr id="121" name="Imagem 120">
            <a:extLst>
              <a:ext uri="{FF2B5EF4-FFF2-40B4-BE49-F238E27FC236}">
                <a16:creationId xmlns:a16="http://schemas.microsoft.com/office/drawing/2014/main" id="{12CB5FBF-81B0-4F1C-B999-93FD8DB11E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2930" b="98828" l="3711" r="96094">
                        <a14:foregroundMark x1="30664" y1="69531" x2="30664" y2="69531"/>
                        <a14:foregroundMark x1="58594" y1="21289" x2="58594" y2="21289"/>
                        <a14:foregroundMark x1="88281" y1="23242" x2="88281" y2="23242"/>
                        <a14:foregroundMark x1="80664" y1="12891" x2="80664" y2="12891"/>
                        <a14:foregroundMark x1="96094" y1="42578" x2="96094" y2="42578"/>
                        <a14:foregroundMark x1="9570" y1="93555" x2="9570" y2="93555"/>
                        <a14:foregroundMark x1="7617" y1="90820" x2="4883" y2="91797"/>
                        <a14:foregroundMark x1="4883" y1="91797" x2="7617" y2="89844"/>
                        <a14:foregroundMark x1="16406" y1="88086" x2="3906" y2="92578"/>
                        <a14:foregroundMark x1="7617" y1="88086" x2="32617" y2="71289"/>
                        <a14:foregroundMark x1="53711" y1="7422" x2="67188" y2="7422"/>
                        <a14:foregroundMark x1="11523" y1="94727" x2="8789" y2="99023"/>
                        <a14:foregroundMark x1="48438" y1="6250" x2="62109" y2="2930"/>
                        <a14:foregroundMark x1="62109" y1="2930" x2="62695" y2="2930"/>
                        <a14:backgroundMark x1="56641" y1="49023" x2="64258" y2="4082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rot="5400000" flipH="1" flipV="1">
            <a:off x="7405857" y="1396378"/>
            <a:ext cx="208406" cy="21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98925</xdr:colOff>
      <xdr:row>1210</xdr:row>
      <xdr:rowOff>161700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0C26EB13-665F-435B-BF1B-6979AAD09ED1}"/>
            </a:ext>
          </a:extLst>
        </xdr:cNvPr>
        <xdr:cNvGrpSpPr/>
      </xdr:nvGrpSpPr>
      <xdr:grpSpPr>
        <a:xfrm>
          <a:off x="0" y="0"/>
          <a:ext cx="1356225" cy="229295100"/>
          <a:chOff x="0" y="0"/>
          <a:chExt cx="1356225" cy="229295100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27C0BA8C-255F-41A8-AF6F-B62433F87A39}"/>
              </a:ext>
            </a:extLst>
          </xdr:cNvPr>
          <xdr:cNvSpPr>
            <a:spLocks/>
          </xdr:cNvSpPr>
        </xdr:nvSpPr>
        <xdr:spPr>
          <a:xfrm>
            <a:off x="3" y="0"/>
            <a:ext cx="1260000" cy="22929510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SALVAR!$D$1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C55FF0CC-90F5-4A2C-805F-AAFE1C4CFA39}"/>
              </a:ext>
            </a:extLst>
          </xdr:cNvPr>
          <xdr:cNvSpPr/>
        </xdr:nvSpPr>
        <xdr:spPr>
          <a:xfrm>
            <a:off x="0" y="0"/>
            <a:ext cx="1260000" cy="265575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C1DDE08-8340-4807-865C-ABCE069852F2}" type="TxLink">
              <a:rPr lang="en-US" sz="1100" b="1" i="0" u="none" strike="noStrike">
                <a:solidFill>
                  <a:srgbClr val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pPr algn="ctr"/>
              <a:t> </a:t>
            </a:fld>
            <a:endParaRPr lang="pt-BR" sz="1100" b="1" u="none">
              <a:solidFill>
                <a:schemeClr val="tx1">
                  <a:lumMod val="75000"/>
                  <a:lumOff val="25000"/>
                </a:schemeClr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A3BF3673-8159-4BDA-93EC-919670D55324}"/>
              </a:ext>
            </a:extLst>
          </xdr:cNvPr>
          <xdr:cNvGrpSpPr/>
        </xdr:nvGrpSpPr>
        <xdr:grpSpPr>
          <a:xfrm>
            <a:off x="276225" y="1726236"/>
            <a:ext cx="1080000" cy="398362"/>
            <a:chOff x="5762625" y="2571750"/>
            <a:chExt cx="1085850" cy="400050"/>
          </a:xfrm>
        </xdr:grpSpPr>
        <xdr:sp macro="" textlink="">
          <xdr:nvSpPr>
            <xdr:cNvPr id="44" name="Fluxograma: Processo Alternativo 43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AA5324F-4F3F-48AC-9AD3-65BB4AC8F72E}"/>
                </a:ext>
              </a:extLst>
            </xdr:cNvPr>
            <xdr:cNvSpPr/>
          </xdr:nvSpPr>
          <xdr:spPr>
            <a:xfrm>
              <a:off x="5762625" y="2579158"/>
              <a:ext cx="1057276" cy="392642"/>
            </a:xfrm>
            <a:prstGeom prst="flowChartAlternateProcess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r"/>
              <a:r>
                <a:rPr lang="pt-BR" sz="1200" b="1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Arial" panose="020B0604020202020204" pitchFamily="34" charset="0"/>
                </a:rPr>
                <a:t>RELATÓRIO</a:t>
              </a:r>
              <a:endParaRPr lang="pt-BR" sz="1000" b="1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5" name="Retângulo 44">
              <a:extLst>
                <a:ext uri="{FF2B5EF4-FFF2-40B4-BE49-F238E27FC236}">
                  <a16:creationId xmlns:a16="http://schemas.microsoft.com/office/drawing/2014/main" id="{ED743A2F-F782-4EA2-B538-347170FE365D}"/>
                </a:ext>
              </a:extLst>
            </xdr:cNvPr>
            <xdr:cNvSpPr/>
          </xdr:nvSpPr>
          <xdr:spPr>
            <a:xfrm>
              <a:off x="6753225" y="2571750"/>
              <a:ext cx="95250" cy="400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pt-BR" sz="1000" b="1">
                <a:solidFill>
                  <a:schemeClr val="bg2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88705923-3D34-4ED7-9FAE-372AD0F68F1E}"/>
              </a:ext>
            </a:extLst>
          </xdr:cNvPr>
          <xdr:cNvGrpSpPr/>
        </xdr:nvGrpSpPr>
        <xdr:grpSpPr>
          <a:xfrm>
            <a:off x="276225" y="1289934"/>
            <a:ext cx="1080000" cy="398362"/>
            <a:chOff x="5762625" y="2571750"/>
            <a:chExt cx="1085850" cy="400050"/>
          </a:xfrm>
        </xdr:grpSpPr>
        <xdr:sp macro="" textlink="">
          <xdr:nvSpPr>
            <xdr:cNvPr id="42" name="Fluxograma: Processo Alternativo 4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F547D379-45BA-4C5B-B00D-874765AC1D41}"/>
                </a:ext>
              </a:extLst>
            </xdr:cNvPr>
            <xdr:cNvSpPr/>
          </xdr:nvSpPr>
          <xdr:spPr>
            <a:xfrm>
              <a:off x="5762625" y="2579158"/>
              <a:ext cx="1057276" cy="392642"/>
            </a:xfrm>
            <a:prstGeom prst="flowChartAlternateProcess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r"/>
              <a:r>
                <a:rPr lang="pt-BR" sz="1200" b="1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Arial" panose="020B0604020202020204" pitchFamily="34" charset="0"/>
                </a:rPr>
                <a:t>CLIENTES</a:t>
              </a:r>
            </a:p>
          </xdr:txBody>
        </xdr:sp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74536545-19FB-4951-8A48-6A9D8B4349DB}"/>
                </a:ext>
              </a:extLst>
            </xdr:cNvPr>
            <xdr:cNvSpPr/>
          </xdr:nvSpPr>
          <xdr:spPr>
            <a:xfrm>
              <a:off x="6753225" y="2571750"/>
              <a:ext cx="95250" cy="400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pt-BR" sz="1000" b="1">
                <a:solidFill>
                  <a:schemeClr val="bg2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4F9F6212-A70D-45AC-A320-83EE8F493A9D}"/>
              </a:ext>
            </a:extLst>
          </xdr:cNvPr>
          <xdr:cNvGrpSpPr/>
        </xdr:nvGrpSpPr>
        <xdr:grpSpPr>
          <a:xfrm>
            <a:off x="276225" y="853633"/>
            <a:ext cx="1080000" cy="398362"/>
            <a:chOff x="5762625" y="2571750"/>
            <a:chExt cx="1085850" cy="400050"/>
          </a:xfrm>
        </xdr:grpSpPr>
        <xdr:sp macro="" textlink="">
          <xdr:nvSpPr>
            <xdr:cNvPr id="40" name="Fluxograma: Processo Alternativo 39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C6F9CEDE-6B9C-405D-9548-4B61693ED84B}"/>
                </a:ext>
              </a:extLst>
            </xdr:cNvPr>
            <xdr:cNvSpPr/>
          </xdr:nvSpPr>
          <xdr:spPr>
            <a:xfrm>
              <a:off x="5762625" y="2579158"/>
              <a:ext cx="1057276" cy="392642"/>
            </a:xfrm>
            <a:prstGeom prst="flowChartAlternateProcess">
              <a:avLst/>
            </a:prstGeom>
            <a:ln>
              <a:noFill/>
            </a:ln>
          </xdr:spPr>
          <xdr:style>
            <a:lnRef idx="2">
              <a:schemeClr val="accent5">
                <a:shade val="50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lvl="0" indent="0" algn="r"/>
              <a:r>
                <a:rPr lang="pt-BR" sz="12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CRM</a:t>
              </a:r>
            </a:p>
          </xdr:txBody>
        </xdr:sp>
        <xdr:sp macro="" textlink="">
          <xdr:nvSpPr>
            <xdr:cNvPr id="41" name="Retângulo 40">
              <a:extLst>
                <a:ext uri="{FF2B5EF4-FFF2-40B4-BE49-F238E27FC236}">
                  <a16:creationId xmlns:a16="http://schemas.microsoft.com/office/drawing/2014/main" id="{75E1148C-5B84-4DC9-B74D-E6BA0E86B7D3}"/>
                </a:ext>
              </a:extLst>
            </xdr:cNvPr>
            <xdr:cNvSpPr/>
          </xdr:nvSpPr>
          <xdr:spPr>
            <a:xfrm>
              <a:off x="6753225" y="2571750"/>
              <a:ext cx="95250" cy="400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pt-BR" sz="1000" b="1">
                <a:solidFill>
                  <a:schemeClr val="bg2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BF87D587-73E0-4CD6-B8BD-4E909642DBC7}"/>
              </a:ext>
            </a:extLst>
          </xdr:cNvPr>
          <xdr:cNvGrpSpPr/>
        </xdr:nvGrpSpPr>
        <xdr:grpSpPr>
          <a:xfrm>
            <a:off x="276225" y="417331"/>
            <a:ext cx="1080000" cy="397914"/>
            <a:chOff x="5762625" y="2571750"/>
            <a:chExt cx="1085850" cy="400050"/>
          </a:xfrm>
        </xdr:grpSpPr>
        <xdr:sp macro="" textlink="">
          <xdr:nvSpPr>
            <xdr:cNvPr id="38" name="Fluxograma: Processo Alternativo 3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7979FFEB-27BB-45A9-82E4-E9E49D9F06B3}"/>
                </a:ext>
              </a:extLst>
            </xdr:cNvPr>
            <xdr:cNvSpPr/>
          </xdr:nvSpPr>
          <xdr:spPr>
            <a:xfrm>
              <a:off x="5762625" y="2579158"/>
              <a:ext cx="1057276" cy="392642"/>
            </a:xfrm>
            <a:prstGeom prst="flowChartAlternateProcess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lvl="0" indent="0" algn="r"/>
              <a:r>
                <a:rPr lang="pt-BR" sz="1200" b="1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Arial" panose="020B0604020202020204" pitchFamily="34" charset="0"/>
                </a:rPr>
                <a:t>CADASTRAR</a:t>
              </a:r>
            </a:p>
          </xdr:txBody>
        </xdr:sp>
        <xdr:sp macro="" textlink="">
          <xdr:nvSpPr>
            <xdr:cNvPr id="39" name="Retângulo 38">
              <a:extLst>
                <a:ext uri="{FF2B5EF4-FFF2-40B4-BE49-F238E27FC236}">
                  <a16:creationId xmlns:a16="http://schemas.microsoft.com/office/drawing/2014/main" id="{41258E21-59D6-416B-AEE9-C1762C3E536A}"/>
                </a:ext>
              </a:extLst>
            </xdr:cNvPr>
            <xdr:cNvSpPr/>
          </xdr:nvSpPr>
          <xdr:spPr>
            <a:xfrm>
              <a:off x="6753225" y="2571750"/>
              <a:ext cx="95250" cy="400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SALVAR!B25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8FAF877E-DD68-4BD5-9B7F-D1884BF48882}"/>
              </a:ext>
            </a:extLst>
          </xdr:cNvPr>
          <xdr:cNvSpPr/>
        </xdr:nvSpPr>
        <xdr:spPr>
          <a:xfrm>
            <a:off x="119736" y="3459667"/>
            <a:ext cx="1020528" cy="265575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C2470EE-EF06-439C-8D6B-2001AF855ECE}" type="TxLink">
              <a:rPr lang="en-US" sz="1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04/12/2022</a:t>
            </a:fld>
            <a:endParaRPr lang="pt-BR" sz="1400" b="1" u="none">
              <a:solidFill>
                <a:schemeClr val="tx1">
                  <a:lumMod val="75000"/>
                  <a:lumOff val="25000"/>
                </a:schemeClr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98925</xdr:colOff>
      <xdr:row>1203</xdr:row>
      <xdr:rowOff>66450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ACC791E4-2188-4F28-B7A9-AFB120F19241}"/>
            </a:ext>
          </a:extLst>
        </xdr:cNvPr>
        <xdr:cNvGrpSpPr/>
      </xdr:nvGrpSpPr>
      <xdr:grpSpPr>
        <a:xfrm>
          <a:off x="0" y="0"/>
          <a:ext cx="1356225" cy="229104600"/>
          <a:chOff x="0" y="0"/>
          <a:chExt cx="1356225" cy="229104600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99CB2D18-A5B2-4A61-8328-2A4FB01411E9}"/>
              </a:ext>
            </a:extLst>
          </xdr:cNvPr>
          <xdr:cNvSpPr>
            <a:spLocks/>
          </xdr:cNvSpPr>
        </xdr:nvSpPr>
        <xdr:spPr>
          <a:xfrm>
            <a:off x="3" y="0"/>
            <a:ext cx="1260000" cy="22910460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SALVAR!$D$1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9EB4F062-8DC3-4A46-AAB6-B70C9D4462F0}"/>
              </a:ext>
            </a:extLst>
          </xdr:cNvPr>
          <xdr:cNvSpPr/>
        </xdr:nvSpPr>
        <xdr:spPr>
          <a:xfrm>
            <a:off x="0" y="0"/>
            <a:ext cx="1260000" cy="265354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C1DDE08-8340-4807-865C-ABCE069852F2}" type="TxLink">
              <a:rPr lang="en-US" sz="1100" b="1" i="0" u="none" strike="noStrike">
                <a:solidFill>
                  <a:srgbClr val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pPr algn="ctr"/>
              <a:t> </a:t>
            </a:fld>
            <a:endParaRPr lang="pt-BR" sz="1100" b="1" u="none">
              <a:solidFill>
                <a:schemeClr val="tx1">
                  <a:lumMod val="75000"/>
                  <a:lumOff val="25000"/>
                </a:schemeClr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A7E6BB48-4B80-4229-B55A-A93A4CEBE856}"/>
              </a:ext>
            </a:extLst>
          </xdr:cNvPr>
          <xdr:cNvGrpSpPr/>
        </xdr:nvGrpSpPr>
        <xdr:grpSpPr>
          <a:xfrm>
            <a:off x="276225" y="1724802"/>
            <a:ext cx="1080000" cy="398031"/>
            <a:chOff x="5762625" y="2571750"/>
            <a:chExt cx="1085850" cy="400050"/>
          </a:xfrm>
        </xdr:grpSpPr>
        <xdr:sp macro="" textlink="">
          <xdr:nvSpPr>
            <xdr:cNvPr id="46" name="Fluxograma: Processo Alternativo 4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6EAE834-582F-4E48-9054-4D47B1FEE75E}"/>
                </a:ext>
              </a:extLst>
            </xdr:cNvPr>
            <xdr:cNvSpPr/>
          </xdr:nvSpPr>
          <xdr:spPr>
            <a:xfrm>
              <a:off x="5762625" y="2579158"/>
              <a:ext cx="1057276" cy="392642"/>
            </a:xfrm>
            <a:prstGeom prst="flowChartAlternateProcess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r"/>
              <a:r>
                <a:rPr lang="pt-BR" sz="1200" b="1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Arial" panose="020B0604020202020204" pitchFamily="34" charset="0"/>
                </a:rPr>
                <a:t>RELATÓRIO</a:t>
              </a:r>
              <a:endParaRPr lang="pt-BR" sz="1000" b="1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id="{8F224A63-C8FB-46BB-A7D9-D03C414F543E}"/>
                </a:ext>
              </a:extLst>
            </xdr:cNvPr>
            <xdr:cNvSpPr/>
          </xdr:nvSpPr>
          <xdr:spPr>
            <a:xfrm>
              <a:off x="6753225" y="2571750"/>
              <a:ext cx="95250" cy="400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pt-BR" sz="1000" b="1">
                <a:solidFill>
                  <a:schemeClr val="bg2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364922D5-D1E0-4834-B439-DEE4BA371BFC}"/>
              </a:ext>
            </a:extLst>
          </xdr:cNvPr>
          <xdr:cNvGrpSpPr/>
        </xdr:nvGrpSpPr>
        <xdr:grpSpPr>
          <a:xfrm>
            <a:off x="276225" y="1288862"/>
            <a:ext cx="1080000" cy="398031"/>
            <a:chOff x="5762625" y="2571750"/>
            <a:chExt cx="1085850" cy="400050"/>
          </a:xfrm>
        </xdr:grpSpPr>
        <xdr:sp macro="" textlink="">
          <xdr:nvSpPr>
            <xdr:cNvPr id="29" name="Fluxograma: Processo Alternativo 28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60912F8B-A60C-43F4-8FF5-15C5AA5BC2E9}"/>
                </a:ext>
              </a:extLst>
            </xdr:cNvPr>
            <xdr:cNvSpPr/>
          </xdr:nvSpPr>
          <xdr:spPr>
            <a:xfrm>
              <a:off x="5762625" y="2579158"/>
              <a:ext cx="1057276" cy="392642"/>
            </a:xfrm>
            <a:prstGeom prst="flowChartAlternateProcess">
              <a:avLst/>
            </a:prstGeom>
            <a:ln>
              <a:noFill/>
            </a:ln>
          </xdr:spPr>
          <xdr:style>
            <a:lnRef idx="2">
              <a:schemeClr val="accent5">
                <a:shade val="50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lvl="0" indent="0" algn="r"/>
              <a:r>
                <a:rPr lang="pt-BR" sz="12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CLIENTES</a:t>
              </a:r>
            </a:p>
          </xdr:txBody>
        </xdr:sp>
        <xdr:sp macro="" textlink="">
          <xdr:nvSpPr>
            <xdr:cNvPr id="45" name="Retângulo 44">
              <a:extLst>
                <a:ext uri="{FF2B5EF4-FFF2-40B4-BE49-F238E27FC236}">
                  <a16:creationId xmlns:a16="http://schemas.microsoft.com/office/drawing/2014/main" id="{148A2645-8797-4581-9CE8-B1D16AA8FA5F}"/>
                </a:ext>
              </a:extLst>
            </xdr:cNvPr>
            <xdr:cNvSpPr/>
          </xdr:nvSpPr>
          <xdr:spPr>
            <a:xfrm>
              <a:off x="6753225" y="2571750"/>
              <a:ext cx="95250" cy="400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pt-BR" sz="1000" b="1">
                <a:solidFill>
                  <a:schemeClr val="bg2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3E256E40-CA7B-4304-A294-27A45933762A}"/>
              </a:ext>
            </a:extLst>
          </xdr:cNvPr>
          <xdr:cNvGrpSpPr/>
        </xdr:nvGrpSpPr>
        <xdr:grpSpPr>
          <a:xfrm>
            <a:off x="276225" y="852924"/>
            <a:ext cx="1080000" cy="398031"/>
            <a:chOff x="5762625" y="2571750"/>
            <a:chExt cx="1085850" cy="400050"/>
          </a:xfrm>
        </xdr:grpSpPr>
        <xdr:sp macro="" textlink="">
          <xdr:nvSpPr>
            <xdr:cNvPr id="27" name="Fluxograma: Processo Alternativo 26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6EA93A04-8111-4EE4-8AE7-52C3BBF01D81}"/>
                </a:ext>
              </a:extLst>
            </xdr:cNvPr>
            <xdr:cNvSpPr/>
          </xdr:nvSpPr>
          <xdr:spPr>
            <a:xfrm>
              <a:off x="5762625" y="2579158"/>
              <a:ext cx="1057276" cy="392642"/>
            </a:xfrm>
            <a:prstGeom prst="flowChartAlternateProcess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lvl="0" indent="0" algn="r"/>
              <a:r>
                <a:rPr lang="pt-BR" sz="1200" b="1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Arial" panose="020B0604020202020204" pitchFamily="34" charset="0"/>
                </a:rPr>
                <a:t>CRM</a:t>
              </a:r>
            </a:p>
          </xdr:txBody>
        </xdr:sp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99C99A16-1192-444E-98E3-6A4B2994ECC7}"/>
                </a:ext>
              </a:extLst>
            </xdr:cNvPr>
            <xdr:cNvSpPr/>
          </xdr:nvSpPr>
          <xdr:spPr>
            <a:xfrm>
              <a:off x="6753225" y="2571750"/>
              <a:ext cx="95250" cy="400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pt-BR" sz="1000" b="1">
                <a:solidFill>
                  <a:schemeClr val="bg2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9BC537CA-4421-459D-81C6-E1154B115059}"/>
              </a:ext>
            </a:extLst>
          </xdr:cNvPr>
          <xdr:cNvGrpSpPr/>
        </xdr:nvGrpSpPr>
        <xdr:grpSpPr>
          <a:xfrm>
            <a:off x="276225" y="416984"/>
            <a:ext cx="1080000" cy="397583"/>
            <a:chOff x="5762625" y="2571750"/>
            <a:chExt cx="1085850" cy="400050"/>
          </a:xfrm>
        </xdr:grpSpPr>
        <xdr:sp macro="" textlink="">
          <xdr:nvSpPr>
            <xdr:cNvPr id="25" name="Fluxograma: Processo Alternativo 24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F57C7278-F789-4790-A025-616DF9911F07}"/>
                </a:ext>
              </a:extLst>
            </xdr:cNvPr>
            <xdr:cNvSpPr/>
          </xdr:nvSpPr>
          <xdr:spPr>
            <a:xfrm>
              <a:off x="5762625" y="2579158"/>
              <a:ext cx="1057276" cy="392642"/>
            </a:xfrm>
            <a:prstGeom prst="flowChartAlternateProcess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lvl="0" indent="0" algn="r"/>
              <a:r>
                <a:rPr lang="pt-BR" sz="1200" b="1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Arial" panose="020B0604020202020204" pitchFamily="34" charset="0"/>
                </a:rPr>
                <a:t>CADASTRAR</a:t>
              </a:r>
            </a:p>
          </xdr:txBody>
        </xdr:sp>
        <xdr:sp macro="" textlink="">
          <xdr:nvSpPr>
            <xdr:cNvPr id="26" name="Retângulo 25">
              <a:extLst>
                <a:ext uri="{FF2B5EF4-FFF2-40B4-BE49-F238E27FC236}">
                  <a16:creationId xmlns:a16="http://schemas.microsoft.com/office/drawing/2014/main" id="{0A95F74D-2AB5-45C1-961E-75AD75918C30}"/>
                </a:ext>
              </a:extLst>
            </xdr:cNvPr>
            <xdr:cNvSpPr/>
          </xdr:nvSpPr>
          <xdr:spPr>
            <a:xfrm>
              <a:off x="6753225" y="2571750"/>
              <a:ext cx="95250" cy="400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SALVAR!B25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AAE2909F-BADB-4551-9830-EB26660E4622}"/>
              </a:ext>
            </a:extLst>
          </xdr:cNvPr>
          <xdr:cNvSpPr/>
        </xdr:nvSpPr>
        <xdr:spPr>
          <a:xfrm>
            <a:off x="119736" y="3456793"/>
            <a:ext cx="1020528" cy="265354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28C704B-6941-4B72-8333-36498DA12294}" type="TxLink">
              <a:rPr lang="en-US" sz="1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04/12/2022</a:t>
            </a:fld>
            <a:endParaRPr lang="pt-BR" sz="1400" b="1" u="none">
              <a:solidFill>
                <a:schemeClr val="tx1">
                  <a:lumMod val="75000"/>
                  <a:lumOff val="25000"/>
                </a:schemeClr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98925</xdr:colOff>
      <xdr:row>1203</xdr:row>
      <xdr:rowOff>123600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B0B72E07-47E6-4466-95E4-3FCE3C205577}"/>
            </a:ext>
          </a:extLst>
        </xdr:cNvPr>
        <xdr:cNvGrpSpPr/>
      </xdr:nvGrpSpPr>
      <xdr:grpSpPr>
        <a:xfrm>
          <a:off x="0" y="0"/>
          <a:ext cx="1356225" cy="229295100"/>
          <a:chOff x="0" y="0"/>
          <a:chExt cx="1356225" cy="229295100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F80E4D2C-002C-4046-8E5F-67B5092D4DE0}"/>
              </a:ext>
            </a:extLst>
          </xdr:cNvPr>
          <xdr:cNvSpPr>
            <a:spLocks/>
          </xdr:cNvSpPr>
        </xdr:nvSpPr>
        <xdr:spPr>
          <a:xfrm>
            <a:off x="3" y="0"/>
            <a:ext cx="1260000" cy="22929510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SALVAR!$D$1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B9D7FD03-5834-44C2-9DF1-6A3988463C5D}"/>
              </a:ext>
            </a:extLst>
          </xdr:cNvPr>
          <xdr:cNvSpPr/>
        </xdr:nvSpPr>
        <xdr:spPr>
          <a:xfrm>
            <a:off x="0" y="0"/>
            <a:ext cx="1260000" cy="265575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C1DDE08-8340-4807-865C-ABCE069852F2}" type="TxLink">
              <a:rPr lang="en-US" sz="1100" b="1" i="0" u="none" strike="noStrike">
                <a:solidFill>
                  <a:srgbClr val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pPr algn="ctr"/>
              <a:t> </a:t>
            </a:fld>
            <a:endParaRPr lang="pt-BR" sz="1100" b="1" u="none">
              <a:solidFill>
                <a:schemeClr val="tx1">
                  <a:lumMod val="75000"/>
                  <a:lumOff val="25000"/>
                </a:schemeClr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81A1A54D-57B0-4B50-AEE1-6E33EC6DCF98}"/>
              </a:ext>
            </a:extLst>
          </xdr:cNvPr>
          <xdr:cNvGrpSpPr/>
        </xdr:nvGrpSpPr>
        <xdr:grpSpPr>
          <a:xfrm>
            <a:off x="276225" y="1726236"/>
            <a:ext cx="1080000" cy="398362"/>
            <a:chOff x="5762625" y="2571750"/>
            <a:chExt cx="1085850" cy="400050"/>
          </a:xfrm>
        </xdr:grpSpPr>
        <xdr:sp macro="" textlink="">
          <xdr:nvSpPr>
            <xdr:cNvPr id="31" name="Fluxograma: Processo Alternativo 30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76A7FDA-52F9-4EDE-8023-18175B8B7C69}"/>
                </a:ext>
              </a:extLst>
            </xdr:cNvPr>
            <xdr:cNvSpPr/>
          </xdr:nvSpPr>
          <xdr:spPr>
            <a:xfrm>
              <a:off x="5762625" y="2579158"/>
              <a:ext cx="1057276" cy="392642"/>
            </a:xfrm>
            <a:prstGeom prst="flowChartAlternateProcess">
              <a:avLst/>
            </a:prstGeom>
            <a:ln>
              <a:noFill/>
            </a:ln>
          </xdr:spPr>
          <xdr:style>
            <a:lnRef idx="2">
              <a:schemeClr val="accent5">
                <a:shade val="50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lvl="0" indent="0" algn="r"/>
              <a:r>
                <a:rPr lang="pt-BR" sz="12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RELATÓRIO</a:t>
              </a:r>
            </a:p>
          </xdr:txBody>
        </xdr:sp>
        <xdr:sp macro="" textlink="">
          <xdr:nvSpPr>
            <xdr:cNvPr id="32" name="Retângulo 31">
              <a:extLst>
                <a:ext uri="{FF2B5EF4-FFF2-40B4-BE49-F238E27FC236}">
                  <a16:creationId xmlns:a16="http://schemas.microsoft.com/office/drawing/2014/main" id="{DD920760-DB5E-468D-AAB2-DF76CE2687D8}"/>
                </a:ext>
              </a:extLst>
            </xdr:cNvPr>
            <xdr:cNvSpPr/>
          </xdr:nvSpPr>
          <xdr:spPr>
            <a:xfrm>
              <a:off x="6753225" y="2571750"/>
              <a:ext cx="95250" cy="400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pt-BR" sz="1000" b="1">
                <a:solidFill>
                  <a:schemeClr val="bg2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8B92BB69-C347-425A-AC20-E43BD2FCD426}"/>
              </a:ext>
            </a:extLst>
          </xdr:cNvPr>
          <xdr:cNvGrpSpPr/>
        </xdr:nvGrpSpPr>
        <xdr:grpSpPr>
          <a:xfrm>
            <a:off x="276225" y="1289934"/>
            <a:ext cx="1080000" cy="398362"/>
            <a:chOff x="5762625" y="2571750"/>
            <a:chExt cx="1085850" cy="400050"/>
          </a:xfrm>
        </xdr:grpSpPr>
        <xdr:sp macro="" textlink="">
          <xdr:nvSpPr>
            <xdr:cNvPr id="29" name="Fluxograma: Processo Alternativo 28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FBAD015C-32D2-4571-9D2B-72A90795E0FE}"/>
                </a:ext>
              </a:extLst>
            </xdr:cNvPr>
            <xdr:cNvSpPr/>
          </xdr:nvSpPr>
          <xdr:spPr>
            <a:xfrm>
              <a:off x="5762625" y="2579158"/>
              <a:ext cx="1057276" cy="392642"/>
            </a:xfrm>
            <a:prstGeom prst="flowChartAlternateProcess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r"/>
              <a:r>
                <a:rPr lang="pt-BR" sz="1200" b="1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Arial" panose="020B0604020202020204" pitchFamily="34" charset="0"/>
                </a:rPr>
                <a:t>CLIENTES</a:t>
              </a:r>
              <a:endParaRPr lang="pt-BR" sz="1000" b="1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30" name="Retângulo 29">
              <a:extLst>
                <a:ext uri="{FF2B5EF4-FFF2-40B4-BE49-F238E27FC236}">
                  <a16:creationId xmlns:a16="http://schemas.microsoft.com/office/drawing/2014/main" id="{C6C508C6-EC89-4E7C-8518-E86C336E15B6}"/>
                </a:ext>
              </a:extLst>
            </xdr:cNvPr>
            <xdr:cNvSpPr/>
          </xdr:nvSpPr>
          <xdr:spPr>
            <a:xfrm>
              <a:off x="6753225" y="2571750"/>
              <a:ext cx="95250" cy="400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pt-BR" sz="1000" b="1">
                <a:solidFill>
                  <a:schemeClr val="bg2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5243E1CE-6FE8-4298-B73B-8583D83EE739}"/>
              </a:ext>
            </a:extLst>
          </xdr:cNvPr>
          <xdr:cNvGrpSpPr/>
        </xdr:nvGrpSpPr>
        <xdr:grpSpPr>
          <a:xfrm>
            <a:off x="276225" y="853633"/>
            <a:ext cx="1080000" cy="398362"/>
            <a:chOff x="5762625" y="2571750"/>
            <a:chExt cx="1085850" cy="400050"/>
          </a:xfrm>
        </xdr:grpSpPr>
        <xdr:sp macro="" textlink="">
          <xdr:nvSpPr>
            <xdr:cNvPr id="27" name="Fluxograma: Processo Alternativo 26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F0F9B6C9-390F-454A-A8C4-8358077662F1}"/>
                </a:ext>
              </a:extLst>
            </xdr:cNvPr>
            <xdr:cNvSpPr/>
          </xdr:nvSpPr>
          <xdr:spPr>
            <a:xfrm>
              <a:off x="5762625" y="2579158"/>
              <a:ext cx="1057276" cy="392642"/>
            </a:xfrm>
            <a:prstGeom prst="flowChartAlternateProcess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lvl="0" indent="0" algn="r"/>
              <a:r>
                <a:rPr lang="pt-BR" sz="1200" b="1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Arial" panose="020B0604020202020204" pitchFamily="34" charset="0"/>
                </a:rPr>
                <a:t>CRM</a:t>
              </a:r>
            </a:p>
          </xdr:txBody>
        </xdr:sp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BD8E3555-1BB5-4090-8C9F-D3D165E70D5C}"/>
                </a:ext>
              </a:extLst>
            </xdr:cNvPr>
            <xdr:cNvSpPr/>
          </xdr:nvSpPr>
          <xdr:spPr>
            <a:xfrm>
              <a:off x="6753225" y="2571750"/>
              <a:ext cx="95250" cy="400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pt-BR" sz="1000" b="1">
                <a:solidFill>
                  <a:schemeClr val="bg2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AE405FA0-A6D5-429A-A3F8-917D41AFB577}"/>
              </a:ext>
            </a:extLst>
          </xdr:cNvPr>
          <xdr:cNvGrpSpPr/>
        </xdr:nvGrpSpPr>
        <xdr:grpSpPr>
          <a:xfrm>
            <a:off x="276225" y="417331"/>
            <a:ext cx="1080000" cy="397914"/>
            <a:chOff x="5762625" y="2571750"/>
            <a:chExt cx="1085850" cy="400050"/>
          </a:xfrm>
        </xdr:grpSpPr>
        <xdr:sp macro="" textlink="">
          <xdr:nvSpPr>
            <xdr:cNvPr id="25" name="Fluxograma: Processo Alternativo 24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FF828F2E-2F27-4559-8530-AA5BBCD20D4A}"/>
                </a:ext>
              </a:extLst>
            </xdr:cNvPr>
            <xdr:cNvSpPr/>
          </xdr:nvSpPr>
          <xdr:spPr>
            <a:xfrm>
              <a:off x="5762625" y="2579158"/>
              <a:ext cx="1057276" cy="392642"/>
            </a:xfrm>
            <a:prstGeom prst="flowChartAlternateProcess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lvl="0" indent="0" algn="r"/>
              <a:r>
                <a:rPr lang="pt-BR" sz="1200" b="1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Arial" panose="020B0604020202020204" pitchFamily="34" charset="0"/>
                </a:rPr>
                <a:t>CADASTRAR</a:t>
              </a:r>
            </a:p>
          </xdr:txBody>
        </xdr:sp>
        <xdr:sp macro="" textlink="">
          <xdr:nvSpPr>
            <xdr:cNvPr id="26" name="Retângulo 25">
              <a:extLst>
                <a:ext uri="{FF2B5EF4-FFF2-40B4-BE49-F238E27FC236}">
                  <a16:creationId xmlns:a16="http://schemas.microsoft.com/office/drawing/2014/main" id="{36545C04-259B-46C3-84FD-92FF5358EF66}"/>
                </a:ext>
              </a:extLst>
            </xdr:cNvPr>
            <xdr:cNvSpPr/>
          </xdr:nvSpPr>
          <xdr:spPr>
            <a:xfrm>
              <a:off x="6753225" y="2571750"/>
              <a:ext cx="95250" cy="400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SALVAR!B25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AE5C62B0-A117-46FE-9502-D6B89FF1401A}"/>
              </a:ext>
            </a:extLst>
          </xdr:cNvPr>
          <xdr:cNvSpPr/>
        </xdr:nvSpPr>
        <xdr:spPr>
          <a:xfrm>
            <a:off x="119736" y="3459667"/>
            <a:ext cx="1020528" cy="265575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B02F65B-57F0-4606-BA33-6DBE7F915878}" type="TxLink">
              <a:rPr lang="en-US" sz="1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04/12/2022</a:t>
            </a:fld>
            <a:endParaRPr lang="pt-BR" sz="1400" b="1" u="none">
              <a:solidFill>
                <a:schemeClr val="tx1">
                  <a:lumMod val="75000"/>
                  <a:lumOff val="25000"/>
                </a:schemeClr>
              </a:solidFill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ES" displayName="CLIENTES" ref="C2:M3" insertRow="1" totalsRowShown="0" headerRowDxfId="21" dataDxfId="20">
  <tableColumns count="11">
    <tableColumn id="2" xr3:uid="{29B3A2A8-0396-4610-BB3B-95521AF8530A}" name="NOME FANTASIA" dataDxfId="19"/>
    <tableColumn id="1" xr3:uid="{6653E050-A917-482D-88D4-04C0DA90E819}" name="COMPRADOR" dataDxfId="18"/>
    <tableColumn id="19" xr3:uid="{00000000-0010-0000-0100-000013000000}" name="CNPJ / CPF" dataDxfId="17"/>
    <tableColumn id="3" xr3:uid="{00000000-0010-0000-0100-000003000000}" name="RAZÃO SOCIAL" dataDxfId="16"/>
    <tableColumn id="20" xr3:uid="{00000000-0010-0000-0100-000014000000}" name="IE" dataDxfId="15"/>
    <tableColumn id="13" xr3:uid="{00000000-0010-0000-0100-00000D000000}" name="FIXO" dataDxfId="14"/>
    <tableColumn id="15" xr3:uid="{00000000-0010-0000-0100-00000F000000}" name="CELULAR" dataDxfId="13"/>
    <tableColumn id="10" xr3:uid="{00000000-0010-0000-0100-00000A000000}" name="CIDADE" dataDxfId="12"/>
    <tableColumn id="11" xr3:uid="{00000000-0010-0000-0100-00000B000000}" name="UF" dataDxfId="11"/>
    <tableColumn id="16" xr3:uid="{00000000-0010-0000-0100-000010000000}" name="E-MAIL" dataDxfId="10"/>
    <tableColumn id="34" xr3:uid="{00000000-0010-0000-0100-000022000000}" name="TELEVENDAS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A12E18-5C4A-4BFC-B0C9-35358CCA0705}" name="RELATORIO" displayName="RELATORIO" ref="C1:I2" insertRow="1" totalsRowShown="0" headerRowDxfId="8" dataDxfId="7">
  <autoFilter ref="C1:I2" xr:uid="{C4A12E18-5C4A-4BFC-B0C9-35358CCA0705}"/>
  <tableColumns count="7">
    <tableColumn id="1" xr3:uid="{D4D30C1E-AEDE-401E-98AB-2C5B91673397}" name="CNPJ" dataDxfId="6"/>
    <tableColumn id="2" xr3:uid="{5A186DB7-A184-42C4-AA0E-DEC73CF81267}" name="RAZÃO SOCIAL" dataDxfId="5"/>
    <tableColumn id="3" xr3:uid="{D55FDAED-E5BF-449F-9613-8C350D3029F0}" name="CIDADE" dataDxfId="4"/>
    <tableColumn id="4" xr3:uid="{2C0568BD-000C-449C-BDCF-05275F1DBB44}" name="DATA" dataDxfId="3"/>
    <tableColumn id="7" xr3:uid="{B08F8BCA-2E61-4E6E-A03C-B173EC1E03F4}" name="HORA" dataDxfId="2"/>
    <tableColumn id="5" xr3:uid="{A0821C23-F3F6-4823-BE85-9D71F6C06CB2}" name="TELEVENDAS" dataDxfId="1"/>
    <tableColumn id="6" xr3:uid="{E3898C1A-28C1-4AC2-95F3-B0DEE2FEAFC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389D-4732-4B73-86E9-3CCCEFC778A8}">
  <sheetPr codeName="Planilha1"/>
  <dimension ref="A1:T26"/>
  <sheetViews>
    <sheetView showGridLines="0" showRowColHeaders="0" tabSelected="1" workbookViewId="0"/>
  </sheetViews>
  <sheetFormatPr defaultColWidth="0" defaultRowHeight="15"/>
  <cols>
    <col min="1" max="1" width="18.85546875" customWidth="1"/>
    <col min="2" max="2" width="2.7109375" customWidth="1"/>
    <col min="3" max="3" width="18.7109375" customWidth="1"/>
    <col min="4" max="5" width="10.7109375" customWidth="1"/>
    <col min="6" max="6" width="3.28515625" customWidth="1"/>
    <col min="7" max="9" width="10.7109375" customWidth="1"/>
    <col min="10" max="10" width="2.42578125" customWidth="1"/>
    <col min="11" max="11" width="10.7109375" customWidth="1"/>
    <col min="12" max="13" width="12.140625" bestFit="1" customWidth="1"/>
    <col min="14" max="18" width="9.140625" customWidth="1"/>
    <col min="19" max="19" width="15.7109375" customWidth="1"/>
    <col min="20" max="20" width="0" hidden="1" customWidth="1"/>
    <col min="21" max="16384" width="9.140625" hidden="1"/>
  </cols>
  <sheetData>
    <row r="1" spans="2:13" ht="15.75" thickBot="1">
      <c r="C1" s="19" t="s">
        <v>0</v>
      </c>
      <c r="D1" s="49"/>
      <c r="E1" s="51"/>
    </row>
    <row r="3" spans="2:13" ht="5.0999999999999996" customHeight="1">
      <c r="D3" s="3"/>
      <c r="E3" s="3"/>
      <c r="F3" s="3"/>
      <c r="K3" s="5"/>
    </row>
    <row r="4" spans="2:13" ht="15.75" thickBot="1">
      <c r="C4" s="37" t="s">
        <v>1</v>
      </c>
      <c r="D4" s="49"/>
      <c r="E4" s="50"/>
      <c r="F4" s="50"/>
      <c r="G4" s="50"/>
      <c r="H4" s="50"/>
      <c r="I4" s="51"/>
    </row>
    <row r="5" spans="2:13" ht="5.0999999999999996" customHeight="1">
      <c r="C5" s="38"/>
      <c r="D5" s="3"/>
      <c r="E5" s="3"/>
      <c r="F5" s="3"/>
      <c r="K5" s="5"/>
    </row>
    <row r="6" spans="2:13" ht="15.75" thickBot="1">
      <c r="C6" s="39" t="s">
        <v>2</v>
      </c>
      <c r="D6" s="49"/>
      <c r="E6" s="50"/>
      <c r="F6" s="50"/>
      <c r="G6" s="50"/>
      <c r="H6" s="50"/>
      <c r="I6" s="51"/>
    </row>
    <row r="7" spans="2:13" ht="5.0999999999999996" customHeight="1">
      <c r="C7" s="40"/>
      <c r="D7" s="2"/>
      <c r="E7" s="10"/>
      <c r="F7" s="10"/>
      <c r="G7" s="15"/>
      <c r="H7" s="6"/>
      <c r="I7" s="10"/>
      <c r="J7" s="2"/>
      <c r="K7" s="11"/>
      <c r="L7" s="2"/>
      <c r="M7" s="2"/>
    </row>
    <row r="8" spans="2:13" ht="15.75" customHeight="1" thickBot="1">
      <c r="C8" s="39" t="s">
        <v>3</v>
      </c>
      <c r="D8" s="49"/>
      <c r="E8" s="51"/>
      <c r="F8" s="2"/>
      <c r="G8" s="17" t="s">
        <v>4</v>
      </c>
      <c r="H8" s="52"/>
      <c r="I8" s="53"/>
    </row>
    <row r="9" spans="2:13" ht="5.0999999999999996" customHeight="1">
      <c r="C9" s="38"/>
      <c r="F9" s="2"/>
      <c r="G9" s="6"/>
      <c r="H9" s="6"/>
      <c r="I9" s="2"/>
      <c r="J9" s="2"/>
      <c r="K9" s="11"/>
      <c r="L9" s="2"/>
      <c r="M9" s="2"/>
    </row>
    <row r="10" spans="2:13" ht="15.75" customHeight="1" thickBot="1">
      <c r="B10" s="2"/>
      <c r="C10" s="39" t="s">
        <v>5</v>
      </c>
      <c r="D10" s="52"/>
      <c r="E10" s="53"/>
      <c r="F10" s="2"/>
      <c r="G10" s="17" t="s">
        <v>6</v>
      </c>
      <c r="H10" s="52"/>
      <c r="I10" s="53"/>
    </row>
    <row r="11" spans="2:13" ht="5.0999999999999996" customHeight="1">
      <c r="B11" s="2"/>
      <c r="C11" s="38"/>
      <c r="F11" s="10"/>
      <c r="G11" s="2"/>
      <c r="H11" s="13"/>
      <c r="I11" s="14"/>
      <c r="J11" s="2"/>
      <c r="K11" s="11"/>
      <c r="L11" s="2"/>
      <c r="M11" s="2"/>
    </row>
    <row r="12" spans="2:13" ht="15.75" thickBot="1">
      <c r="B12" s="2"/>
      <c r="C12" s="39" t="s">
        <v>7</v>
      </c>
      <c r="D12" s="52"/>
      <c r="E12" s="53"/>
    </row>
    <row r="13" spans="2:13" ht="5.0999999999999996" customHeight="1">
      <c r="B13" s="2"/>
      <c r="C13" s="38"/>
      <c r="D13" s="12"/>
      <c r="E13" s="10"/>
      <c r="F13" s="10"/>
      <c r="G13" s="2"/>
      <c r="H13" s="13"/>
      <c r="I13" s="14"/>
      <c r="J13" s="2"/>
      <c r="K13" s="11"/>
      <c r="L13" s="2"/>
      <c r="M13" s="2"/>
    </row>
    <row r="14" spans="2:13" ht="15.75" thickBot="1">
      <c r="B14" s="2"/>
      <c r="C14" s="39" t="s">
        <v>8</v>
      </c>
      <c r="D14" s="49"/>
      <c r="E14" s="50"/>
      <c r="F14" s="50"/>
      <c r="G14" s="50"/>
      <c r="H14" s="50"/>
      <c r="I14" s="51"/>
      <c r="K14" s="8"/>
    </row>
    <row r="15" spans="2:13" ht="5.0999999999999996" customHeight="1">
      <c r="C15" s="38"/>
    </row>
    <row r="16" spans="2:13" ht="15.75" thickBot="1">
      <c r="C16" s="39" t="s">
        <v>9</v>
      </c>
      <c r="D16" s="49"/>
      <c r="E16" s="51"/>
      <c r="F16" s="2"/>
      <c r="G16" s="17" t="s">
        <v>10</v>
      </c>
      <c r="H16" s="52"/>
      <c r="I16" s="53"/>
    </row>
    <row r="17" spans="2:13">
      <c r="C17" s="6"/>
      <c r="D17" s="2"/>
      <c r="E17" s="2"/>
    </row>
    <row r="25" spans="2:13" hidden="1">
      <c r="B25" s="5">
        <f ca="1">TODAY()</f>
        <v>44899</v>
      </c>
      <c r="C25" s="46" t="s">
        <v>11</v>
      </c>
      <c r="D25" s="47" t="s">
        <v>12</v>
      </c>
      <c r="E25" s="47" t="s">
        <v>13</v>
      </c>
      <c r="F25" s="47" t="s">
        <v>2</v>
      </c>
      <c r="G25" s="47" t="s">
        <v>14</v>
      </c>
      <c r="H25" s="47" t="s">
        <v>15</v>
      </c>
      <c r="I25" s="47" t="s">
        <v>6</v>
      </c>
      <c r="J25" s="47" t="s">
        <v>9</v>
      </c>
      <c r="K25" s="47" t="s">
        <v>10</v>
      </c>
      <c r="L25" s="47" t="s">
        <v>16</v>
      </c>
      <c r="M25" s="48" t="s">
        <v>0</v>
      </c>
    </row>
    <row r="26" spans="2:13" hidden="1">
      <c r="C26">
        <f>D4</f>
        <v>0</v>
      </c>
      <c r="D26" s="6">
        <f>D12</f>
        <v>0</v>
      </c>
      <c r="E26" s="1">
        <f>D8</f>
        <v>0</v>
      </c>
      <c r="F26" s="3">
        <f>D6</f>
        <v>0</v>
      </c>
      <c r="G26" s="3">
        <f>H8</f>
        <v>0</v>
      </c>
      <c r="H26" s="3">
        <f>D10</f>
        <v>0</v>
      </c>
      <c r="I26" s="2">
        <f>H10</f>
        <v>0</v>
      </c>
      <c r="J26" s="3">
        <f>D16</f>
        <v>0</v>
      </c>
      <c r="K26">
        <f>H16</f>
        <v>0</v>
      </c>
      <c r="L26">
        <f>D14</f>
        <v>0</v>
      </c>
      <c r="M26">
        <f>D1</f>
        <v>0</v>
      </c>
    </row>
  </sheetData>
  <mergeCells count="11">
    <mergeCell ref="D14:I14"/>
    <mergeCell ref="H16:I16"/>
    <mergeCell ref="D16:E16"/>
    <mergeCell ref="H8:I8"/>
    <mergeCell ref="D1:E1"/>
    <mergeCell ref="D12:E12"/>
    <mergeCell ref="D8:E8"/>
    <mergeCell ref="D10:E10"/>
    <mergeCell ref="D4:I4"/>
    <mergeCell ref="H10:I10"/>
    <mergeCell ref="D6:I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79BA9-701D-4030-8431-246178E4A056}">
  <sheetPr codeName="Planilha2"/>
  <dimension ref="A1:T20"/>
  <sheetViews>
    <sheetView showGridLines="0" showRowColHeaders="0" topLeftCell="A3" workbookViewId="0"/>
  </sheetViews>
  <sheetFormatPr defaultColWidth="0" defaultRowHeight="15"/>
  <cols>
    <col min="1" max="1" width="18.85546875" customWidth="1"/>
    <col min="2" max="2" width="2.7109375" customWidth="1"/>
    <col min="3" max="3" width="18.7109375" customWidth="1"/>
    <col min="4" max="5" width="10.7109375" customWidth="1"/>
    <col min="6" max="6" width="2.7109375" customWidth="1"/>
    <col min="7" max="9" width="10.7109375" customWidth="1"/>
    <col min="10" max="10" width="10.7109375" style="5" customWidth="1"/>
    <col min="11" max="11" width="12.140625" style="21" bestFit="1" customWidth="1"/>
    <col min="12" max="12" width="12.140625" bestFit="1" customWidth="1"/>
    <col min="13" max="13" width="46.5703125" customWidth="1"/>
    <col min="14" max="17" width="9.140625" customWidth="1"/>
    <col min="18" max="18" width="15.7109375" customWidth="1"/>
    <col min="19" max="20" width="0" hidden="1" customWidth="1"/>
    <col min="21" max="16384" width="9.140625" hidden="1"/>
  </cols>
  <sheetData>
    <row r="1" spans="2:12" hidden="1">
      <c r="C1">
        <f>D8</f>
        <v>0</v>
      </c>
      <c r="D1">
        <f>D6</f>
        <v>0</v>
      </c>
      <c r="E1">
        <f>D16</f>
        <v>0</v>
      </c>
      <c r="F1" s="5">
        <f>H2</f>
        <v>0</v>
      </c>
      <c r="G1" s="5">
        <f>I2</f>
        <v>0</v>
      </c>
      <c r="H1">
        <f>SALVAR!D1</f>
        <v>0</v>
      </c>
      <c r="I1">
        <f>D18</f>
        <v>0</v>
      </c>
      <c r="J1"/>
      <c r="K1"/>
    </row>
    <row r="2" spans="2:12" ht="15.75" hidden="1" thickBot="1">
      <c r="G2" s="17" t="s">
        <v>17</v>
      </c>
      <c r="H2" s="44"/>
      <c r="I2" s="45"/>
      <c r="J2"/>
      <c r="K2"/>
    </row>
    <row r="3" spans="2:12" ht="5.0999999999999996" customHeight="1">
      <c r="C3" s="15"/>
      <c r="D3" s="22"/>
      <c r="E3" s="22"/>
      <c r="F3" s="22"/>
      <c r="G3" s="22"/>
      <c r="H3" s="22"/>
      <c r="I3" s="22"/>
      <c r="J3" s="22"/>
      <c r="K3" s="22"/>
      <c r="L3" s="2"/>
    </row>
    <row r="4" spans="2:12" ht="15.75" thickBot="1">
      <c r="C4" s="18" t="s">
        <v>1</v>
      </c>
      <c r="D4" s="49"/>
      <c r="E4" s="50"/>
      <c r="F4" s="50"/>
      <c r="G4" s="50"/>
      <c r="H4" s="50"/>
      <c r="I4" s="51"/>
      <c r="J4"/>
      <c r="K4"/>
    </row>
    <row r="5" spans="2:12" ht="5.0999999999999996" customHeight="1">
      <c r="D5" s="3"/>
      <c r="E5" s="3"/>
      <c r="F5" s="3"/>
      <c r="K5"/>
    </row>
    <row r="6" spans="2:12" ht="15.75" thickBot="1">
      <c r="C6" s="23" t="s">
        <v>2</v>
      </c>
      <c r="D6" s="49"/>
      <c r="E6" s="50"/>
      <c r="F6" s="50"/>
      <c r="G6" s="50"/>
      <c r="H6" s="50"/>
      <c r="I6" s="51"/>
      <c r="J6" s="22"/>
      <c r="K6" s="22"/>
    </row>
    <row r="7" spans="2:12" ht="5.0999999999999996" customHeight="1">
      <c r="C7" s="15"/>
      <c r="D7" s="22"/>
      <c r="E7" s="22"/>
      <c r="F7" s="22"/>
      <c r="G7" s="22"/>
      <c r="H7" s="22"/>
      <c r="I7" s="22"/>
      <c r="J7" s="22"/>
      <c r="K7" s="22"/>
      <c r="L7" s="2"/>
    </row>
    <row r="8" spans="2:12" ht="15.75" customHeight="1" thickBot="1">
      <c r="C8" s="23" t="s">
        <v>3</v>
      </c>
      <c r="D8" s="49"/>
      <c r="E8" s="51"/>
      <c r="F8" s="22"/>
      <c r="G8" s="17" t="s">
        <v>4</v>
      </c>
      <c r="H8" s="54"/>
      <c r="I8" s="55"/>
      <c r="J8" s="22"/>
      <c r="K8" s="22"/>
    </row>
    <row r="9" spans="2:12" ht="5.0999999999999996" customHeight="1">
      <c r="C9" s="6"/>
      <c r="D9" s="22"/>
      <c r="E9" s="22"/>
      <c r="F9" s="22"/>
      <c r="G9" s="15"/>
      <c r="H9" s="22"/>
      <c r="I9" s="22"/>
      <c r="J9" s="24"/>
      <c r="K9" s="22"/>
      <c r="L9" s="2"/>
    </row>
    <row r="10" spans="2:12" ht="15.75" customHeight="1" thickBot="1">
      <c r="C10" s="18" t="s">
        <v>5</v>
      </c>
      <c r="D10" s="49"/>
      <c r="E10" s="51"/>
      <c r="F10" s="22"/>
      <c r="G10" s="17" t="s">
        <v>6</v>
      </c>
      <c r="H10" s="49"/>
      <c r="I10" s="51"/>
      <c r="J10" s="22"/>
      <c r="K10" s="22"/>
    </row>
    <row r="11" spans="2:12" ht="5.0999999999999996" customHeight="1">
      <c r="C11" s="6"/>
      <c r="D11" s="22"/>
      <c r="E11" s="22"/>
      <c r="F11" s="22"/>
      <c r="G11" s="15"/>
      <c r="H11" s="24"/>
      <c r="I11" s="26"/>
      <c r="J11" s="24"/>
      <c r="K11" s="22"/>
      <c r="L11" s="2"/>
    </row>
    <row r="12" spans="2:12" ht="15.75" thickBot="1">
      <c r="C12" s="17" t="s">
        <v>7</v>
      </c>
      <c r="D12" s="49"/>
      <c r="E12" s="51"/>
      <c r="F12" s="22"/>
      <c r="J12" s="22"/>
      <c r="K12" s="22"/>
    </row>
    <row r="13" spans="2:12" ht="5.0999999999999996" customHeight="1">
      <c r="C13" s="6"/>
      <c r="D13" s="25"/>
      <c r="E13" s="22"/>
      <c r="F13" s="22"/>
      <c r="G13" s="22"/>
      <c r="H13" s="24"/>
      <c r="I13" s="26"/>
      <c r="J13" s="24"/>
      <c r="K13" s="22"/>
      <c r="L13" s="2"/>
    </row>
    <row r="14" spans="2:12" ht="15.75" thickBot="1">
      <c r="C14" s="18" t="s">
        <v>8</v>
      </c>
      <c r="D14" s="49"/>
      <c r="E14" s="50"/>
      <c r="F14" s="50"/>
      <c r="G14" s="50"/>
      <c r="H14" s="50"/>
      <c r="I14" s="51"/>
      <c r="J14" s="24"/>
      <c r="K14" s="22"/>
    </row>
    <row r="15" spans="2:12" ht="5.0999999999999996" customHeight="1">
      <c r="C15" s="6"/>
      <c r="D15" s="22"/>
      <c r="E15" s="22"/>
      <c r="F15" s="22"/>
      <c r="G15" s="22"/>
      <c r="H15" s="22"/>
      <c r="I15" s="22"/>
      <c r="J15" s="22"/>
      <c r="K15" s="22"/>
    </row>
    <row r="16" spans="2:12" ht="15.75" thickBot="1">
      <c r="B16" s="2"/>
      <c r="C16" s="18" t="s">
        <v>9</v>
      </c>
      <c r="D16" s="49"/>
      <c r="E16" s="51"/>
      <c r="F16" s="22"/>
      <c r="G16" s="17" t="s">
        <v>10</v>
      </c>
      <c r="H16" s="49"/>
      <c r="I16" s="51"/>
      <c r="J16" s="22"/>
      <c r="K16" s="22"/>
    </row>
    <row r="17" spans="1:13" ht="5.0999999999999996" customHeight="1">
      <c r="B17" s="2"/>
      <c r="C17" s="22"/>
      <c r="D17" s="22"/>
      <c r="E17" s="22"/>
      <c r="F17" s="22"/>
      <c r="G17" s="22"/>
      <c r="H17" s="22"/>
      <c r="I17" s="22"/>
      <c r="J17" s="22"/>
      <c r="K17" s="22"/>
    </row>
    <row r="18" spans="1:13" ht="15.75" thickBot="1">
      <c r="B18" s="2"/>
      <c r="C18" s="17" t="s">
        <v>18</v>
      </c>
      <c r="D18" s="49"/>
      <c r="E18" s="50"/>
      <c r="F18" s="50"/>
      <c r="G18" s="50"/>
      <c r="H18" s="50"/>
      <c r="I18" s="50"/>
      <c r="J18" s="50"/>
      <c r="K18" s="51"/>
    </row>
    <row r="19" spans="1:13" s="3" customFormat="1">
      <c r="A19"/>
      <c r="B19" s="2"/>
    </row>
    <row r="20" spans="1:13">
      <c r="C20" s="34" t="s">
        <v>19</v>
      </c>
      <c r="D20" s="36" t="s">
        <v>2</v>
      </c>
      <c r="E20" s="7"/>
      <c r="F20" s="7"/>
      <c r="G20" s="7"/>
      <c r="H20" s="16"/>
      <c r="I20" s="34" t="s">
        <v>9</v>
      </c>
      <c r="J20" s="9" t="s">
        <v>17</v>
      </c>
      <c r="K20" s="9" t="s">
        <v>20</v>
      </c>
      <c r="L20" s="9" t="s">
        <v>0</v>
      </c>
      <c r="M20" s="9" t="s">
        <v>21</v>
      </c>
    </row>
  </sheetData>
  <mergeCells count="11">
    <mergeCell ref="D18:K18"/>
    <mergeCell ref="D4:I4"/>
    <mergeCell ref="D6:I6"/>
    <mergeCell ref="H8:I8"/>
    <mergeCell ref="H10:I10"/>
    <mergeCell ref="D16:E16"/>
    <mergeCell ref="D12:E12"/>
    <mergeCell ref="H16:I16"/>
    <mergeCell ref="D8:E8"/>
    <mergeCell ref="D10:E10"/>
    <mergeCell ref="D14:I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BD13"/>
  <sheetViews>
    <sheetView showGridLines="0" showRowColHeaders="0" workbookViewId="0"/>
  </sheetViews>
  <sheetFormatPr defaultColWidth="0" defaultRowHeight="15"/>
  <cols>
    <col min="1" max="1" width="18.85546875" customWidth="1"/>
    <col min="2" max="2" width="2.7109375" customWidth="1"/>
    <col min="3" max="3" width="16.140625" bestFit="1" customWidth="1"/>
    <col min="4" max="4" width="12.85546875" bestFit="1" customWidth="1"/>
    <col min="5" max="5" width="10.42578125" bestFit="1" customWidth="1"/>
    <col min="6" max="6" width="14" bestFit="1" customWidth="1"/>
    <col min="7" max="7" width="13.5703125" customWidth="1"/>
    <col min="8" max="8" width="5.140625" bestFit="1" customWidth="1"/>
    <col min="9" max="9" width="14.7109375" bestFit="1" customWidth="1"/>
    <col min="10" max="10" width="7.5703125" bestFit="1" customWidth="1"/>
    <col min="11" max="11" width="5.7109375" bestFit="1" customWidth="1"/>
    <col min="12" max="12" width="7.28515625" bestFit="1" customWidth="1"/>
    <col min="13" max="13" width="12.140625" bestFit="1" customWidth="1"/>
    <col min="14" max="16" width="9.140625" customWidth="1"/>
    <col min="17" max="17" width="15.5703125" bestFit="1" customWidth="1"/>
    <col min="18" max="18" width="14.42578125" bestFit="1" customWidth="1"/>
    <col min="19" max="19" width="9.140625" customWidth="1"/>
    <col min="20" max="20" width="15.7109375" customWidth="1"/>
    <col min="21" max="25" width="9.140625" customWidth="1"/>
    <col min="26" max="56" width="0" hidden="1" customWidth="1"/>
    <col min="57" max="16384" width="9.140625" hidden="1"/>
  </cols>
  <sheetData>
    <row r="1" spans="2:13" ht="5.0999999999999996" customHeight="1"/>
    <row r="2" spans="2:13">
      <c r="C2" s="1" t="s">
        <v>11</v>
      </c>
      <c r="D2" s="41" t="s">
        <v>12</v>
      </c>
      <c r="E2" s="1" t="s">
        <v>13</v>
      </c>
      <c r="F2" s="1" t="s">
        <v>2</v>
      </c>
      <c r="G2" s="1" t="s">
        <v>14</v>
      </c>
      <c r="H2" s="1" t="s">
        <v>15</v>
      </c>
      <c r="I2" s="1" t="s">
        <v>6</v>
      </c>
      <c r="J2" s="1" t="s">
        <v>9</v>
      </c>
      <c r="K2" s="1" t="s">
        <v>10</v>
      </c>
      <c r="L2" s="1" t="s">
        <v>16</v>
      </c>
      <c r="M2" s="1" t="s">
        <v>0</v>
      </c>
    </row>
    <row r="3" spans="2:13">
      <c r="D3" s="4"/>
      <c r="E3" s="30"/>
      <c r="F3" s="31"/>
      <c r="G3" s="35"/>
    </row>
    <row r="9" spans="2:13">
      <c r="B9" s="2"/>
    </row>
    <row r="10" spans="2:13">
      <c r="B10" s="2"/>
    </row>
    <row r="11" spans="2:13">
      <c r="B11" s="2"/>
    </row>
    <row r="12" spans="2:13">
      <c r="B12" s="2"/>
    </row>
    <row r="13" spans="2:13">
      <c r="B13" s="2"/>
    </row>
  </sheetData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64562-DF90-4BA0-B399-B41E150D7263}">
  <sheetPr codeName="Planilha4"/>
  <dimension ref="C1:S2"/>
  <sheetViews>
    <sheetView showGridLines="0" showRowColHeaders="0" workbookViewId="0"/>
  </sheetViews>
  <sheetFormatPr defaultColWidth="9.140625" defaultRowHeight="15"/>
  <cols>
    <col min="1" max="1" width="18.85546875" customWidth="1"/>
    <col min="2" max="2" width="2.7109375" customWidth="1"/>
    <col min="3" max="3" width="19.42578125" style="20" bestFit="1" customWidth="1"/>
    <col min="4" max="4" width="52.85546875" style="22" customWidth="1"/>
    <col min="5" max="5" width="26.140625" style="3" bestFit="1" customWidth="1"/>
    <col min="6" max="6" width="12.7109375" style="8" bestFit="1" customWidth="1"/>
    <col min="7" max="7" width="12.7109375" style="43" customWidth="1"/>
    <col min="8" max="8" width="14.28515625" style="27" customWidth="1"/>
    <col min="9" max="9" width="16.7109375" style="27" customWidth="1"/>
    <col min="10" max="12" width="9.140625" customWidth="1"/>
    <col min="13" max="13" width="14.85546875" customWidth="1"/>
    <col min="14" max="17" width="9.140625" customWidth="1"/>
    <col min="19" max="19" width="10.7109375" style="5" bestFit="1" customWidth="1"/>
  </cols>
  <sheetData>
    <row r="1" spans="3:19" s="28" customFormat="1">
      <c r="C1" s="30" t="s">
        <v>19</v>
      </c>
      <c r="D1" s="31" t="s">
        <v>2</v>
      </c>
      <c r="E1" s="31" t="s">
        <v>9</v>
      </c>
      <c r="F1" s="32" t="s">
        <v>17</v>
      </c>
      <c r="G1" s="42" t="s">
        <v>22</v>
      </c>
      <c r="H1" s="33" t="s">
        <v>0</v>
      </c>
      <c r="I1" s="33" t="s">
        <v>21</v>
      </c>
      <c r="S1" s="29"/>
    </row>
    <row r="2" spans="3:19" s="28" customFormat="1">
      <c r="C2" s="30"/>
      <c r="D2" s="31"/>
      <c r="E2"/>
      <c r="F2" s="32"/>
      <c r="G2" s="42"/>
      <c r="H2" s="33"/>
      <c r="I2" s="33"/>
      <c r="S2" s="29"/>
    </row>
  </sheetData>
  <phoneticPr fontId="4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89043F-3F78-425D-BD2F-64AE8BF1B16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Notas Fiscais por OperaÃ§Ã£o</dc:title>
  <dc:subject/>
  <dc:creator>Tiny ERP</dc:creator>
  <cp:keywords/>
  <dc:description/>
  <cp:lastModifiedBy>Custódio Júnior</cp:lastModifiedBy>
  <cp:revision/>
  <dcterms:created xsi:type="dcterms:W3CDTF">2021-04-05T22:47:31Z</dcterms:created>
  <dcterms:modified xsi:type="dcterms:W3CDTF">2022-12-04T14:09:43Z</dcterms:modified>
  <cp:category/>
  <cp:contentStatus/>
</cp:coreProperties>
</file>